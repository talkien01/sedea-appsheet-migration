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ce2bcd559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TAL" sheetId="1" r:id="Rc41e4ab24168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4">
    <x:font>
      <x:sz val="11"/>
      <x:name val="Carlito"/>
    </x:font>
    <x:font>
      <x:b/>
      <x:sz val="18"/>
      <x:color rgb="FF000000"/>
      <x:name val="Carlito"/>
    </x:font>
    <x:font>
      <x:b/>
      <x:sz val="11"/>
      <x:color rgb="FFFFFFFF"/>
      <x:name val="Carlito"/>
    </x:font>
    <x:font>
      <x:b/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E6B99"/>
      </x:patternFill>
    </x:fill>
  </x:fills>
  <x:borders count="24">
    <x:border/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3" xfId="0" applyNumberFormat="1" applyFont="1" applyFill="1" applyBorder="1"/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3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10" xfId="0" applyNumberFormat="1" applyFont="1" applyFill="1" applyBorder="1" applyAlignment="1">
      <x:alignment horizontal="center" wrapText="1"/>
    </x:xf>
    <x:xf numFmtId="0" fontId="2" fillId="2" borderId="11" xfId="0" applyNumberFormat="1" applyFont="1" applyFill="1" applyBorder="1" applyAlignment="1">
      <x:alignment horizontal="center" wrapText="1"/>
    </x:xf>
    <x:xf numFmtId="0" fontId="2" fillId="2" borderId="12" xfId="0" applyNumberFormat="1" applyFont="1" applyFill="1" applyBorder="1" applyAlignment="1">
      <x:alignment horizontal="center" wrapText="1"/>
    </x:xf>
    <x:xf numFmtId="0" fontId="2" fillId="2" borderId="13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2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horizontal="center"/>
    </x:xf>
    <x:xf numFmtId="0" fontId="3" fillId="0" borderId="14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5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0" fontId="3" fillId="0" borderId="16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17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2" fillId="2" borderId="18" xfId="0" applyNumberFormat="1" applyFont="1" applyFill="1" applyBorder="1"/>
    <x:xf numFmtId="0" fontId="2" fillId="2" borderId="19" xfId="0" applyNumberFormat="1" applyFont="1" applyFill="1" applyBorder="1"/>
    <x:xf numFmtId="0" fontId="2" fillId="2" borderId="20" xfId="0" applyNumberFormat="1" applyFont="1" applyFill="1" applyBorder="1"/>
    <x:xf numFmtId="0" fontId="2" fillId="2" borderId="18" xfId="0" applyNumberFormat="1" applyFont="1" applyFill="1" applyBorder="1" applyAlignment="1">
      <x:alignment horizontal="center"/>
    </x:xf>
    <x:xf numFmtId="0" fontId="2" fillId="2" borderId="19" xfId="0" applyNumberFormat="1" applyFont="1" applyFill="1" applyBorder="1" applyAlignment="1">
      <x:alignment horizontal="center"/>
    </x:xf>
    <x:xf numFmtId="0" fontId="2" fillId="2" borderId="20" xfId="0" applyNumberFormat="1" applyFont="1" applyFill="1" applyBorder="1" applyAlignment="1">
      <x:alignment horizontal="center"/>
    </x:xf>
    <x:xf numFmtId="0" fontId="2" fillId="2" borderId="18" xfId="0" applyNumberFormat="1" applyFont="1" applyFill="1" applyBorder="1" applyAlignment="1">
      <x:alignment horizontal="center" vertical="center"/>
    </x:xf>
    <x:xf numFmtId="0" fontId="2" fillId="2" borderId="19" xfId="0" applyNumberFormat="1" applyFont="1" applyFill="1" applyBorder="1" applyAlignment="1">
      <x:alignment horizontal="center" vertical="center"/>
    </x:xf>
    <x:xf numFmtId="0" fontId="2" fillId="2" borderId="20" xfId="0" applyNumberFormat="1" applyFont="1" applyFill="1" applyBorder="1" applyAlignment="1">
      <x:alignment horizontal="center" vertical="center"/>
    </x:xf>
    <x:xf numFmtId="0" fontId="2" fillId="2" borderId="21" xfId="0" applyNumberFormat="1" applyFont="1" applyFill="1" applyBorder="1"/>
    <x:xf numFmtId="0" fontId="2" fillId="2" borderId="22" xfId="0" applyNumberFormat="1" applyFont="1" applyFill="1" applyBorder="1"/>
    <x:xf numFmtId="0" fontId="2" fillId="2" borderId="23" xfId="0" applyNumberFormat="1" applyFont="1" applyFill="1" applyBorder="1"/>
    <x:xf numFmtId="0" fontId="2" fillId="2" borderId="21" xfId="0" applyNumberFormat="1" applyFont="1" applyFill="1" applyBorder="1" applyAlignment="1">
      <x:alignment horizontal="center"/>
    </x:xf>
    <x:xf numFmtId="0" fontId="2" fillId="2" borderId="22" xfId="0" applyNumberFormat="1" applyFont="1" applyFill="1" applyBorder="1" applyAlignment="1">
      <x:alignment horizontal="center"/>
    </x:xf>
    <x:xf numFmtId="0" fontId="2" fillId="2" borderId="23" xfId="0" applyNumberFormat="1" applyFont="1" applyFill="1" applyBorder="1" applyAlignment="1">
      <x:alignment horizontal="center"/>
    </x:xf>
    <x:xf numFmtId="0" fontId="2" fillId="2" borderId="21" xfId="0" applyNumberFormat="1" applyFont="1" applyFill="1" applyBorder="1" applyAlignment="1">
      <x:alignment horizontal="center" vertical="center"/>
    </x:xf>
    <x:xf numFmtId="0" fontId="2" fillId="2" borderId="22" xfId="0" applyNumberFormat="1" applyFont="1" applyFill="1" applyBorder="1" applyAlignment="1">
      <x:alignment horizontal="center" vertical="center"/>
    </x:xf>
    <x:xf numFmtId="0" fontId="2" fillId="2" borderId="23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2" fillId="2" borderId="19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200" fontId="2" fillId="2" borderId="22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2" fillId="2" borderId="19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201" fontId="2" fillId="2" borderId="22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5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2" fillId="2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5b8aa057644a1" /><Relationship Type="http://schemas.openxmlformats.org/officeDocument/2006/relationships/theme" Target="/xl/theme/theme1.xml" Id="Rdb8e1f9c64cc4c3e" /><Relationship Type="http://schemas.openxmlformats.org/officeDocument/2006/relationships/sharedStrings" Target="/xl/sharedStrings.xml" Id="R344c03bd99a74751" /><Relationship Type="http://schemas.openxmlformats.org/officeDocument/2006/relationships/worksheet" Target="/xl/worksheets/sheet1.xml" Id="Rc41e4ab24168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7" hidden="0" customWidth="1"/>
    <x:col min="4" max="4" width="12" hidden="0" customWidth="1"/>
    <x:col min="5" max="5" width="17" hidden="0" customWidth="1"/>
    <x:col min="6" max="6" width="12" hidden="0" customWidth="1"/>
    <x:col min="7" max="7" width="17" hidden="0" customWidth="1"/>
  </x:cols>
  <x:sheetData>
    <x:row r="1" ht="30" customHeight="1">
      <x:c r="A1" s="4" t="str">
        <x:v>ESTATAL</x:v>
      </x:c>
      <x:c r="B1" s="4"/>
      <x:c r="C1" s="4"/>
      <x:c r="D1" s="4"/>
      <x:c r="E1" s="4"/>
      <x:c r="F1" s="4"/>
      <x:c r="G1" s="4"/>
    </x:row>
    <x:row r="3" ht="24" customHeight="1">
      <x:c r="A3" s="28" t="str">
        <x:v>MUNICIPIO</x:v>
      </x:c>
      <x:c r="B3" s="29" t="str">
        <x:v>MAQUINARIA Y EQUIPO</x:v>
      </x:c>
      <x:c r="C3" s="29"/>
      <x:c r="D3" s="29" t="str">
        <x:v>FERTILIZANTE</x:v>
      </x:c>
      <x:c r="E3" s="29"/>
      <x:c r="F3" s="29" t="str">
        <x:v>TOTAL</x:v>
      </x:c>
      <x:c r="G3" s="30"/>
    </x:row>
    <x:row r="4" ht="24" customHeight="1">
      <x:c r="A4" s="31"/>
      <x:c r="B4" s="32" t="str">
        <x:v>BENEF.</x:v>
      </x:c>
      <x:c r="C4" s="32" t="str">
        <x:v>MONTO</x:v>
      </x:c>
      <x:c r="D4" s="32" t="str">
        <x:v>BENEF.</x:v>
      </x:c>
      <x:c r="E4" s="32" t="str">
        <x:v>MONTO</x:v>
      </x:c>
      <x:c r="F4" s="32" t="str">
        <x:v>BENEF.</x:v>
      </x:c>
      <x:c r="G4" s="33" t="str">
        <x:v>MONTO</x:v>
      </x:c>
    </x:row>
    <x:row r="5" ht="21" customHeight="1">
      <x:c r="A5" s="78" t="str">
        <x:v>CADEREYTA DE MONTES</x:v>
      </x:c>
      <x:c r="B5" s="132" t="n">
        <x:v>1</x:v>
      </x:c>
      <x:c r="C5" s="140" t="n">
        <x:v>5162.5</x:v>
      </x:c>
      <x:c r="D5" s="132" t="n">
        <x:v>0</x:v>
      </x:c>
      <x:c r="E5" s="140" t="n">
        <x:v>0</x:v>
      </x:c>
      <x:c r="F5" s="132" t="n">
        <x:f>B5+D5</x:f>
        <x:v>1</x:v>
      </x:c>
      <x:c r="G5" s="148" t="n">
        <x:f>C5+E5</x:f>
        <x:v>5162.5</x:v>
      </x:c>
    </x:row>
    <x:row r="6" ht="21" customHeight="1">
      <x:c r="A6" s="81" t="str">
        <x:v>COLÓN</x:v>
      </x:c>
      <x:c r="B6" s="133" t="n">
        <x:v>7</x:v>
      </x:c>
      <x:c r="C6" s="141" t="n">
        <x:v>44987.5</x:v>
      </x:c>
      <x:c r="D6" s="133" t="n">
        <x:v>0</x:v>
      </x:c>
      <x:c r="E6" s="141" t="n">
        <x:v>0</x:v>
      </x:c>
      <x:c r="F6" s="133" t="n">
        <x:f>B6+D6</x:f>
        <x:v>7</x:v>
      </x:c>
      <x:c r="G6" s="149" t="n">
        <x:f>C6+E6</x:f>
        <x:v>44987.5</x:v>
      </x:c>
    </x:row>
    <x:row r="7" ht="21" customHeight="1">
      <x:c r="A7" s="81" t="str">
        <x:v>CORREGIDORA</x:v>
      </x:c>
      <x:c r="B7" s="133" t="n">
        <x:v>5</x:v>
      </x:c>
      <x:c r="C7" s="141" t="n">
        <x:v>30237.5</x:v>
      </x:c>
      <x:c r="D7" s="133" t="n">
        <x:v>0</x:v>
      </x:c>
      <x:c r="E7" s="141" t="n">
        <x:v>0</x:v>
      </x:c>
      <x:c r="F7" s="133" t="n">
        <x:f>B7+D7</x:f>
        <x:v>5</x:v>
      </x:c>
      <x:c r="G7" s="149" t="n">
        <x:f>C7+E7</x:f>
        <x:v>30237.5</x:v>
      </x:c>
    </x:row>
    <x:row r="8" ht="21" customHeight="1">
      <x:c r="A8" s="81" t="str">
        <x:v>EL MARQUÉS</x:v>
      </x:c>
      <x:c r="B8" s="133" t="n">
        <x:v>13</x:v>
      </x:c>
      <x:c r="C8" s="141" t="n">
        <x:v>73012.5</x:v>
      </x:c>
      <x:c r="D8" s="133" t="n">
        <x:v>0</x:v>
      </x:c>
      <x:c r="E8" s="141" t="n">
        <x:v>0</x:v>
      </x:c>
      <x:c r="F8" s="133" t="n">
        <x:f>B8+D8</x:f>
        <x:v>13</x:v>
      </x:c>
      <x:c r="G8" s="149" t="n">
        <x:f>C8+E8</x:f>
        <x:v>73012.5</x:v>
      </x:c>
    </x:row>
    <x:row r="9" ht="21" customHeight="1">
      <x:c r="A9" s="81" t="str">
        <x:v>HUIMILPAN</x:v>
      </x:c>
      <x:c r="B9" s="133" t="n">
        <x:v>5</x:v>
      </x:c>
      <x:c r="C9" s="141" t="n">
        <x:v>27287.5</x:v>
      </x:c>
      <x:c r="D9" s="133" t="n">
        <x:v>0</x:v>
      </x:c>
      <x:c r="E9" s="141" t="n">
        <x:v>0</x:v>
      </x:c>
      <x:c r="F9" s="133" t="n">
        <x:f>B9+D9</x:f>
        <x:v>5</x:v>
      </x:c>
      <x:c r="G9" s="149" t="n">
        <x:f>C9+E9</x:f>
        <x:v>27287.5</x:v>
      </x:c>
    </x:row>
    <x:row r="10" ht="21" customHeight="1">
      <x:c r="A10" s="81" t="str">
        <x:v>PEDRO ESCOBEDO</x:v>
      </x:c>
      <x:c r="B10" s="133" t="n">
        <x:v>1</x:v>
      </x:c>
      <x:c r="C10" s="141" t="n">
        <x:v>5162.5</x:v>
      </x:c>
      <x:c r="D10" s="133" t="n">
        <x:v>0</x:v>
      </x:c>
      <x:c r="E10" s="141" t="n">
        <x:v>0</x:v>
      </x:c>
      <x:c r="F10" s="133" t="n">
        <x:f>B10+D10</x:f>
        <x:v>1</x:v>
      </x:c>
      <x:c r="G10" s="149" t="n">
        <x:f>C10+E10</x:f>
        <x:v>5162.5</x:v>
      </x:c>
    </x:row>
    <x:row r="11" ht="21" customHeight="1">
      <x:c r="A11" s="81" t="str">
        <x:v>QUERÉTARO</x:v>
      </x:c>
      <x:c r="B11" s="133" t="n">
        <x:v>29</x:v>
      </x:c>
      <x:c r="C11" s="141" t="n">
        <x:v>172575</x:v>
      </x:c>
      <x:c r="D11" s="133" t="n">
        <x:v>0</x:v>
      </x:c>
      <x:c r="E11" s="141" t="n">
        <x:v>0</x:v>
      </x:c>
      <x:c r="F11" s="133" t="n">
        <x:f>B11+D11</x:f>
        <x:v>29</x:v>
      </x:c>
      <x:c r="G11" s="149" t="n">
        <x:f>C11+E11</x:f>
        <x:v>172575</x:v>
      </x:c>
    </x:row>
    <x:row r="12" ht="21" customHeight="1">
      <x:c r="A12" s="81" t="str">
        <x:v>SAN JUAN DEL RÍO</x:v>
      </x:c>
      <x:c r="B12" s="133" t="n">
        <x:v>8</x:v>
      </x:c>
      <x:c r="C12" s="141" t="n">
        <x:v>42037.5</x:v>
      </x:c>
      <x:c r="D12" s="133" t="n">
        <x:v>0</x:v>
      </x:c>
      <x:c r="E12" s="141" t="n">
        <x:v>0</x:v>
      </x:c>
      <x:c r="F12" s="133" t="n">
        <x:f>B12+D12</x:f>
        <x:v>8</x:v>
      </x:c>
      <x:c r="G12" s="149" t="n">
        <x:f>C12+E12</x:f>
        <x:v>42037.5</x:v>
      </x:c>
    </x:row>
    <x:row r="13" ht="21" customHeight="1">
      <x:c r="A13" s="81" t="str">
        <x:v>TEQUISQUIAPAN</x:v>
      </x:c>
      <x:c r="B13" s="133" t="n">
        <x:v>1</x:v>
      </x:c>
      <x:c r="C13" s="141" t="n">
        <x:v>5162.5</x:v>
      </x:c>
      <x:c r="D13" s="133" t="n">
        <x:v>0</x:v>
      </x:c>
      <x:c r="E13" s="141" t="n">
        <x:v>0</x:v>
      </x:c>
      <x:c r="F13" s="133" t="n">
        <x:f>B13+D13</x:f>
        <x:v>1</x:v>
      </x:c>
      <x:c r="G13" s="149" t="n">
        <x:f>C13+E13</x:f>
        <x:v>5162.5</x:v>
      </x:c>
    </x:row>
    <x:row r="14" ht="21" customHeight="1">
      <x:c r="A14" s="84" t="str">
        <x:v>TOLIMÁN</x:v>
      </x:c>
      <x:c r="B14" s="134" t="n">
        <x:v>1</x:v>
      </x:c>
      <x:c r="C14" s="142" t="n">
        <x:v>5162.5</x:v>
      </x:c>
      <x:c r="D14" s="134" t="n">
        <x:v>0</x:v>
      </x:c>
      <x:c r="E14" s="142" t="n">
        <x:v>0</x:v>
      </x:c>
      <x:c r="F14" s="134" t="n">
        <x:f>B14+D14</x:f>
        <x:v>1</x:v>
      </x:c>
      <x:c r="G14" s="150" t="n">
        <x:f>C14+E14</x:f>
        <x:v>5162.5</x:v>
      </x:c>
    </x:row>
    <x:row r="15" ht="21" customHeight="1">
      <x:c r="A15" s="120" t="str">
        <x:v>TOTAL ESTATAL</x:v>
      </x:c>
      <x:c r="B15" s="135" t="n">
        <x:f>SUM(B5:B14)</x:f>
        <x:v>71</x:v>
      </x:c>
      <x:c r="C15" s="143" t="n">
        <x:f>SUM(C5:C14)</x:f>
        <x:v>410787.5</x:v>
      </x:c>
      <x:c r="D15" s="135" t="n">
        <x:f>SUM(D5:D14)</x:f>
        <x:v>0</x:v>
      </x:c>
      <x:c r="E15" s="143" t="n">
        <x:f>SUM(E5:E14)</x:f>
        <x:v>0</x:v>
      </x:c>
      <x:c r="F15" s="135" t="n">
        <x:f>SUM(F5:F14)</x:f>
        <x:v>71</x:v>
      </x:c>
      <x:c r="G15" s="151" t="n">
        <x:f>SUM(G5:G14)</x:f>
        <x:v>410787.5</x:v>
      </x:c>
    </x:row>
  </x:sheetData>
  <x:mergeCells>
    <x:mergeCell ref="A1:G1"/>
    <x:mergeCell ref="A3:A4"/>
    <x:mergeCell ref="B3:C3"/>
    <x:mergeCell ref="D3:E3"/>
    <x:mergeCell ref="F3:G3"/>
  </x:mergeCells>
  <x:pageMargins left="0.7" right="0.7" top="0.75" bottom="0.75" header="0.3" footer="0.3"/>
</x:worksheet>
</file>