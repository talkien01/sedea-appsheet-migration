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parsar\Downloads\01_CLAUDE_2026_Repositorio\generador_fichas_webapp\"/>
    </mc:Choice>
  </mc:AlternateContent>
  <xr:revisionPtr revIDLastSave="0" documentId="13_ncr:1_{265129B8-C9FD-47AA-83BE-88636D9E56F8}" xr6:coauthVersionLast="36" xr6:coauthVersionMax="36" xr10:uidLastSave="{00000000-0000-0000-0000-000000000000}"/>
  <bookViews>
    <workbookView xWindow="0" yWindow="0" windowWidth="15315" windowHeight="7725" xr2:uid="{00000000-000D-0000-FFFF-FFFF00000000}"/>
  </bookViews>
  <sheets>
    <sheet name="ESTATAL" sheetId="1" r:id="rId1"/>
  </sheets>
  <calcPr calcId="191029"/>
</workbook>
</file>

<file path=xl/calcChain.xml><?xml version="1.0" encoding="utf-8"?>
<calcChain xmlns="http://schemas.openxmlformats.org/spreadsheetml/2006/main">
  <c r="E15" i="1" l="1"/>
  <c r="D15" i="1" l="1"/>
  <c r="C15" i="1"/>
  <c r="B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15" i="1" l="1"/>
  <c r="F15" i="1"/>
</calcChain>
</file>

<file path=xl/sharedStrings.xml><?xml version="1.0" encoding="utf-8"?>
<sst xmlns="http://schemas.openxmlformats.org/spreadsheetml/2006/main" count="40" uniqueCount="32">
  <si>
    <t>ESTATAL</t>
  </si>
  <si>
    <t>MUNICIPIO</t>
  </si>
  <si>
    <t>MAQUINARIA Y EQUIPO</t>
  </si>
  <si>
    <t>FERTILIZANTE</t>
  </si>
  <si>
    <t>TOTAL</t>
  </si>
  <si>
    <t>BENEF.</t>
  </si>
  <si>
    <t>MONTO</t>
  </si>
  <si>
    <t>CADEREYTA DE MONTES</t>
  </si>
  <si>
    <t>COLÓN</t>
  </si>
  <si>
    <t>CORREGIDORA</t>
  </si>
  <si>
    <t>EL MARQUÉS</t>
  </si>
  <si>
    <t>HUIMILPAN</t>
  </si>
  <si>
    <t>PEDRO ESCOBEDO</t>
  </si>
  <si>
    <t>QUERÉTARO</t>
  </si>
  <si>
    <t>SAN JUAN DEL RÍO</t>
  </si>
  <si>
    <t>TEQUISQUIAPAN</t>
  </si>
  <si>
    <t>TOLIMÁN</t>
  </si>
  <si>
    <t>TOTAL ESTATAL</t>
  </si>
  <si>
    <t>DISTRIBUCIÓN DE BENEFICIARIOS POR SEXO</t>
  </si>
  <si>
    <t>Género</t>
  </si>
  <si>
    <t>Personas</t>
  </si>
  <si>
    <t>%</t>
  </si>
  <si>
    <t>Hombres</t>
  </si>
  <si>
    <t>Mujeres</t>
  </si>
  <si>
    <t>Total</t>
  </si>
  <si>
    <t>DISTRIBUCIÓN DE BENEFICIARIOS POR GRUPOS DE EDAD</t>
  </si>
  <si>
    <t>Grupo de edad</t>
  </si>
  <si>
    <t>Jóvenes (18-29)</t>
  </si>
  <si>
    <t>Adultos (30-59)</t>
  </si>
  <si>
    <t>Adultos mayores (60+)</t>
  </si>
  <si>
    <t>Edad calculada al 11/08/2026 con FECHA NACIMIENTO; cuando no está disponible, se usa la fecha contenida en la CURP.</t>
  </si>
  <si>
    <t>APOYO 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</si>
</sst>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i/>
      <sz val="9"/>
      <color rgb="FF555555"/>
      <name val="Carlito"/>
    </font>
    <font>
      <sz val="11"/>
      <name val="Arial"/>
      <family val="2"/>
    </font>
    <font>
      <b/>
      <sz val="16"/>
      <color rgb="FFFFFFFF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E6B99"/>
      </patternFill>
    </fill>
    <fill>
      <patternFill patternType="solid">
        <fgColor rgb="FF3E6B9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2" xfId="0" applyNumberFormat="1" applyFont="1" applyFill="1" applyBorder="1" applyAlignment="1">
      <alignment horizontal="center" vertical="center"/>
    </xf>
    <xf numFmtId="0" fontId="3" fillId="3" borderId="13" xfId="0" applyNumberFormat="1" applyFont="1" applyFill="1" applyBorder="1" applyAlignment="1">
      <alignment horizontal="center" vertical="center"/>
    </xf>
    <xf numFmtId="0" fontId="3" fillId="3" borderId="14" xfId="0" applyNumberFormat="1" applyFont="1" applyFill="1" applyBorder="1" applyAlignment="1">
      <alignment horizontal="center" vertical="center"/>
    </xf>
    <xf numFmtId="0" fontId="4" fillId="0" borderId="15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horizontal="center" vertical="center"/>
    </xf>
    <xf numFmtId="164" fontId="4" fillId="0" borderId="17" xfId="0" applyNumberFormat="1" applyFont="1" applyFill="1" applyBorder="1" applyAlignment="1">
      <alignment horizontal="center" vertical="center"/>
    </xf>
    <xf numFmtId="0" fontId="4" fillId="0" borderId="18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164" fontId="4" fillId="0" borderId="19" xfId="0" applyNumberFormat="1" applyFont="1" applyFill="1" applyBorder="1" applyAlignment="1">
      <alignment horizontal="center" vertical="center"/>
    </xf>
    <xf numFmtId="164" fontId="3" fillId="3" borderId="14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/>
    </xf>
    <xf numFmtId="4" fontId="4" fillId="0" borderId="2" xfId="0" applyNumberFormat="1" applyFont="1" applyFill="1" applyBorder="1" applyAlignment="1">
      <alignment horizontal="center" vertical="center"/>
    </xf>
    <xf numFmtId="4" fontId="4" fillId="0" borderId="3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4" fontId="4" fillId="0" borderId="0" xfId="0" applyNumberFormat="1" applyFont="1" applyFill="1" applyBorder="1" applyAlignment="1">
      <alignment horizontal="center" vertical="center"/>
    </xf>
    <xf numFmtId="4" fontId="4" fillId="0" borderId="8" xfId="0" applyNumberFormat="1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4" fontId="4" fillId="0" borderId="5" xfId="0" applyNumberFormat="1" applyFont="1" applyFill="1" applyBorder="1" applyAlignment="1">
      <alignment horizontal="center" vertical="center"/>
    </xf>
    <xf numFmtId="4" fontId="4" fillId="0" borderId="6" xfId="0" applyNumberFormat="1" applyFont="1" applyFill="1" applyBorder="1" applyAlignment="1">
      <alignment horizontal="center" vertical="center"/>
    </xf>
    <xf numFmtId="0" fontId="3" fillId="2" borderId="9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7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C5" sqref="C5"/>
    </sheetView>
  </sheetViews>
  <sheetFormatPr baseColWidth="10" defaultColWidth="9" defaultRowHeight="14.25"/>
  <cols>
    <col min="1" max="1" width="33.875" bestFit="1" customWidth="1"/>
    <col min="2" max="2" width="16" customWidth="1"/>
    <col min="3" max="3" width="18" customWidth="1"/>
    <col min="4" max="5" width="16" customWidth="1"/>
    <col min="6" max="6" width="12" customWidth="1"/>
    <col min="7" max="7" width="17" customWidth="1"/>
  </cols>
  <sheetData>
    <row r="1" spans="1:7" ht="30" customHeight="1">
      <c r="A1" s="13" t="s">
        <v>0</v>
      </c>
      <c r="B1" s="13"/>
      <c r="C1" s="13"/>
      <c r="D1" s="13"/>
      <c r="E1" s="13"/>
      <c r="F1" s="13"/>
      <c r="G1" s="13"/>
    </row>
    <row r="2" spans="1:7" ht="20.25">
      <c r="A2" s="14"/>
      <c r="B2" s="14"/>
      <c r="C2" s="14"/>
      <c r="D2" s="14"/>
      <c r="E2" s="14"/>
      <c r="F2" s="14"/>
      <c r="G2" s="14"/>
    </row>
    <row r="3" spans="1:7" ht="24" customHeight="1">
      <c r="A3" s="15" t="s">
        <v>1</v>
      </c>
      <c r="B3" s="16" t="s">
        <v>2</v>
      </c>
      <c r="C3" s="16"/>
      <c r="D3" s="16" t="s">
        <v>3</v>
      </c>
      <c r="E3" s="16"/>
      <c r="F3" s="16" t="s">
        <v>4</v>
      </c>
      <c r="G3" s="17"/>
    </row>
    <row r="4" spans="1:7" ht="24" customHeight="1">
      <c r="A4" s="18"/>
      <c r="B4" s="19" t="s">
        <v>5</v>
      </c>
      <c r="C4" s="19" t="s">
        <v>31</v>
      </c>
      <c r="D4" s="19" t="s">
        <v>5</v>
      </c>
      <c r="E4" s="19" t="s">
        <v>6</v>
      </c>
      <c r="F4" s="19" t="s">
        <v>5</v>
      </c>
      <c r="G4" s="20" t="s">
        <v>6</v>
      </c>
    </row>
    <row r="5" spans="1:7" ht="21" customHeight="1">
      <c r="A5" s="34" t="s">
        <v>7</v>
      </c>
      <c r="B5" s="21">
        <v>1</v>
      </c>
      <c r="C5" s="22">
        <v>5162.5</v>
      </c>
      <c r="D5" s="21">
        <v>0</v>
      </c>
      <c r="E5" s="22">
        <v>5162.5</v>
      </c>
      <c r="F5" s="21">
        <f t="shared" ref="F5:F14" si="0">B5+D5</f>
        <v>1</v>
      </c>
      <c r="G5" s="23">
        <f t="shared" ref="G5:G14" si="1">C5+E5</f>
        <v>10325</v>
      </c>
    </row>
    <row r="6" spans="1:7" ht="21" customHeight="1">
      <c r="A6" s="35" t="s">
        <v>8</v>
      </c>
      <c r="B6" s="24">
        <v>7</v>
      </c>
      <c r="C6" s="25">
        <v>44987.5</v>
      </c>
      <c r="D6" s="24">
        <v>0</v>
      </c>
      <c r="E6" s="25">
        <v>44987.5</v>
      </c>
      <c r="F6" s="24">
        <f t="shared" si="0"/>
        <v>7</v>
      </c>
      <c r="G6" s="26">
        <f t="shared" si="1"/>
        <v>89975</v>
      </c>
    </row>
    <row r="7" spans="1:7" ht="21" customHeight="1">
      <c r="A7" s="35" t="s">
        <v>9</v>
      </c>
      <c r="B7" s="24">
        <v>5</v>
      </c>
      <c r="C7" s="25">
        <v>30237.5</v>
      </c>
      <c r="D7" s="24">
        <v>0</v>
      </c>
      <c r="E7" s="25">
        <v>30237.5</v>
      </c>
      <c r="F7" s="24">
        <f t="shared" si="0"/>
        <v>5</v>
      </c>
      <c r="G7" s="26">
        <f t="shared" si="1"/>
        <v>60475</v>
      </c>
    </row>
    <row r="8" spans="1:7" ht="21" customHeight="1">
      <c r="A8" s="35" t="s">
        <v>10</v>
      </c>
      <c r="B8" s="24">
        <v>13</v>
      </c>
      <c r="C8" s="25">
        <v>73012.5</v>
      </c>
      <c r="D8" s="24">
        <v>0</v>
      </c>
      <c r="E8" s="25">
        <v>73012.5</v>
      </c>
      <c r="F8" s="24">
        <f t="shared" si="0"/>
        <v>13</v>
      </c>
      <c r="G8" s="26">
        <f t="shared" si="1"/>
        <v>146025</v>
      </c>
    </row>
    <row r="9" spans="1:7" ht="21" customHeight="1">
      <c r="A9" s="35" t="s">
        <v>11</v>
      </c>
      <c r="B9" s="24">
        <v>5</v>
      </c>
      <c r="C9" s="25">
        <v>27287.5</v>
      </c>
      <c r="D9" s="24">
        <v>0</v>
      </c>
      <c r="E9" s="25">
        <v>27287.5</v>
      </c>
      <c r="F9" s="24">
        <f t="shared" si="0"/>
        <v>5</v>
      </c>
      <c r="G9" s="26">
        <f t="shared" si="1"/>
        <v>54575</v>
      </c>
    </row>
    <row r="10" spans="1:7" ht="21" customHeight="1">
      <c r="A10" s="35" t="s">
        <v>12</v>
      </c>
      <c r="B10" s="24">
        <v>1</v>
      </c>
      <c r="C10" s="25">
        <v>5162.5</v>
      </c>
      <c r="D10" s="24">
        <v>0</v>
      </c>
      <c r="E10" s="25">
        <v>5162.5</v>
      </c>
      <c r="F10" s="24">
        <f t="shared" si="0"/>
        <v>1</v>
      </c>
      <c r="G10" s="26">
        <f t="shared" si="1"/>
        <v>10325</v>
      </c>
    </row>
    <row r="11" spans="1:7" ht="21" customHeight="1">
      <c r="A11" s="35" t="s">
        <v>13</v>
      </c>
      <c r="B11" s="24">
        <v>29</v>
      </c>
      <c r="C11" s="25">
        <v>172575</v>
      </c>
      <c r="D11" s="24">
        <v>0</v>
      </c>
      <c r="E11" s="25">
        <v>172575</v>
      </c>
      <c r="F11" s="24">
        <f t="shared" si="0"/>
        <v>29</v>
      </c>
      <c r="G11" s="26">
        <f t="shared" si="1"/>
        <v>345150</v>
      </c>
    </row>
    <row r="12" spans="1:7" ht="21" customHeight="1">
      <c r="A12" s="35" t="s">
        <v>14</v>
      </c>
      <c r="B12" s="24">
        <v>8</v>
      </c>
      <c r="C12" s="25">
        <v>42037.5</v>
      </c>
      <c r="D12" s="24">
        <v>0</v>
      </c>
      <c r="E12" s="25">
        <v>42037.5</v>
      </c>
      <c r="F12" s="24">
        <f t="shared" si="0"/>
        <v>8</v>
      </c>
      <c r="G12" s="26">
        <f t="shared" si="1"/>
        <v>84075</v>
      </c>
    </row>
    <row r="13" spans="1:7" ht="21" customHeight="1">
      <c r="A13" s="35" t="s">
        <v>15</v>
      </c>
      <c r="B13" s="24">
        <v>1</v>
      </c>
      <c r="C13" s="25">
        <v>5162.5</v>
      </c>
      <c r="D13" s="24">
        <v>0</v>
      </c>
      <c r="E13" s="25">
        <v>5162.5</v>
      </c>
      <c r="F13" s="24">
        <f t="shared" si="0"/>
        <v>1</v>
      </c>
      <c r="G13" s="26">
        <f t="shared" si="1"/>
        <v>10325</v>
      </c>
    </row>
    <row r="14" spans="1:7" ht="21" customHeight="1">
      <c r="A14" s="36" t="s">
        <v>16</v>
      </c>
      <c r="B14" s="27">
        <v>1</v>
      </c>
      <c r="C14" s="28">
        <v>5162.5</v>
      </c>
      <c r="D14" s="27">
        <v>0</v>
      </c>
      <c r="E14" s="28">
        <v>5162.5</v>
      </c>
      <c r="F14" s="27">
        <f t="shared" si="0"/>
        <v>1</v>
      </c>
      <c r="G14" s="29">
        <f t="shared" si="1"/>
        <v>10325</v>
      </c>
    </row>
    <row r="15" spans="1:7" ht="21" customHeight="1">
      <c r="A15" s="30" t="s">
        <v>17</v>
      </c>
      <c r="B15" s="31">
        <f t="shared" ref="B15:G15" si="2">SUM(B5:B14)</f>
        <v>71</v>
      </c>
      <c r="C15" s="32">
        <f t="shared" si="2"/>
        <v>410787.5</v>
      </c>
      <c r="D15" s="31">
        <f t="shared" si="2"/>
        <v>0</v>
      </c>
      <c r="E15" s="32">
        <f t="shared" si="2"/>
        <v>410787.5</v>
      </c>
      <c r="F15" s="31">
        <f t="shared" si="2"/>
        <v>71</v>
      </c>
      <c r="G15" s="33">
        <f t="shared" si="2"/>
        <v>821575</v>
      </c>
    </row>
    <row r="18" spans="1:7" ht="24" customHeight="1">
      <c r="A18" s="13" t="s">
        <v>18</v>
      </c>
      <c r="B18" s="13"/>
      <c r="C18" s="13"/>
      <c r="D18" s="13"/>
      <c r="E18" s="13"/>
      <c r="F18" s="13"/>
      <c r="G18" s="13"/>
    </row>
    <row r="19" spans="1:7" ht="20.25">
      <c r="A19" s="14"/>
      <c r="B19" s="3" t="s">
        <v>19</v>
      </c>
      <c r="C19" s="4" t="s">
        <v>20</v>
      </c>
      <c r="D19" s="5" t="s">
        <v>21</v>
      </c>
      <c r="E19" s="14"/>
      <c r="F19" s="14"/>
      <c r="G19" s="14"/>
    </row>
    <row r="20" spans="1:7" ht="20.25">
      <c r="A20" s="14"/>
      <c r="B20" s="6" t="s">
        <v>22</v>
      </c>
      <c r="C20" s="7">
        <v>42</v>
      </c>
      <c r="D20" s="8">
        <v>0.57746478873239437</v>
      </c>
      <c r="E20" s="14"/>
      <c r="F20" s="14"/>
      <c r="G20" s="14"/>
    </row>
    <row r="21" spans="1:7" ht="20.25">
      <c r="A21" s="14"/>
      <c r="B21" s="9" t="s">
        <v>23</v>
      </c>
      <c r="C21" s="10">
        <v>29</v>
      </c>
      <c r="D21" s="11">
        <v>0.40845070422535212</v>
      </c>
      <c r="E21" s="14"/>
      <c r="F21" s="14"/>
      <c r="G21" s="14"/>
    </row>
    <row r="22" spans="1:7" ht="20.25">
      <c r="A22" s="14"/>
      <c r="B22" s="3" t="s">
        <v>24</v>
      </c>
      <c r="C22" s="4">
        <v>71</v>
      </c>
      <c r="D22" s="12">
        <v>1</v>
      </c>
      <c r="E22" s="14"/>
      <c r="F22" s="14"/>
      <c r="G22" s="14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 ht="24" customHeight="1">
      <c r="A25" s="13" t="s">
        <v>25</v>
      </c>
      <c r="B25" s="13"/>
      <c r="C25" s="13"/>
      <c r="D25" s="13"/>
      <c r="E25" s="13"/>
      <c r="F25" s="13"/>
      <c r="G25" s="13"/>
    </row>
    <row r="26" spans="1:7" ht="20.25">
      <c r="A26" s="3" t="s">
        <v>26</v>
      </c>
      <c r="B26" s="4" t="s">
        <v>22</v>
      </c>
      <c r="C26" s="4" t="s">
        <v>23</v>
      </c>
      <c r="D26" s="4" t="s">
        <v>24</v>
      </c>
      <c r="E26" s="5" t="s">
        <v>21</v>
      </c>
      <c r="F26" s="2"/>
      <c r="G26" s="2"/>
    </row>
    <row r="27" spans="1:7" ht="20.25">
      <c r="A27" s="6" t="s">
        <v>27</v>
      </c>
      <c r="B27" s="7">
        <v>4</v>
      </c>
      <c r="C27" s="7">
        <v>3</v>
      </c>
      <c r="D27" s="7">
        <v>7</v>
      </c>
      <c r="E27" s="8">
        <v>9.8591549295774641E-2</v>
      </c>
      <c r="F27" s="2"/>
      <c r="G27" s="2"/>
    </row>
    <row r="28" spans="1:7" ht="20.25">
      <c r="A28" s="9" t="s">
        <v>28</v>
      </c>
      <c r="B28" s="10">
        <v>17</v>
      </c>
      <c r="C28" s="10">
        <v>17</v>
      </c>
      <c r="D28" s="10">
        <v>33</v>
      </c>
      <c r="E28" s="11">
        <v>0.46478873239436619</v>
      </c>
      <c r="F28" s="2"/>
      <c r="G28" s="2"/>
    </row>
    <row r="29" spans="1:7" ht="20.25">
      <c r="A29" s="9" t="s">
        <v>29</v>
      </c>
      <c r="B29" s="10">
        <v>21</v>
      </c>
      <c r="C29" s="10">
        <v>9</v>
      </c>
      <c r="D29" s="10">
        <v>30</v>
      </c>
      <c r="E29" s="11">
        <v>0.42253521126760563</v>
      </c>
      <c r="F29" s="2"/>
      <c r="G29" s="2"/>
    </row>
    <row r="30" spans="1:7" ht="20.25">
      <c r="A30" s="3" t="s">
        <v>24</v>
      </c>
      <c r="B30" s="4">
        <v>41</v>
      </c>
      <c r="C30" s="4">
        <v>29</v>
      </c>
      <c r="D30" s="4">
        <v>71</v>
      </c>
      <c r="E30" s="12">
        <v>1</v>
      </c>
      <c r="F30" s="2"/>
      <c r="G30" s="2"/>
    </row>
    <row r="32" spans="1:7" ht="27.95" customHeight="1">
      <c r="A32" s="1" t="s">
        <v>30</v>
      </c>
      <c r="B32" s="1"/>
      <c r="C32" s="1"/>
      <c r="D32" s="1"/>
      <c r="E32" s="1"/>
      <c r="F32" s="1"/>
      <c r="G32" s="1"/>
    </row>
  </sheetData>
  <mergeCells count="8">
    <mergeCell ref="A18:G18"/>
    <mergeCell ref="A25:G25"/>
    <mergeCell ref="A32:G32"/>
    <mergeCell ref="A1:G1"/>
    <mergeCell ref="A3:A4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VIANNEY PARSA RETANA</cp:lastModifiedBy>
  <dcterms:modified xsi:type="dcterms:W3CDTF">2026-08-11T23:24:49Z</dcterms:modified>
</cp:coreProperties>
</file>