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68fb71b4848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BUCIÓN MUNICIPIOS" sheetId="1" r:id="Racffe5069530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8"/>
      <x:color rgb="FF000000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b/>
      <x:sz val="10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E6B99"/>
      </x:patternFill>
    </x:fill>
  </x:fills>
  <x:borders count="24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</x:border>
    <x:border>
      <x:right style="thin">
        <x:color rgb="FFBFBFBF"/>
      </x:right>
    </x:border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8" xfId="0" applyNumberFormat="1" applyFont="1" applyFill="1" applyBorder="1" applyAlignment="1">
      <x:alignment horizontal="center"/>
    </x:xf>
    <x:xf numFmtId="0" fontId="4" fillId="0" borderId="9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 applyAlignment="1">
      <x:alignment horizontal="center"/>
    </x:xf>
    <x:xf numFmtId="0" fontId="4" fillId="0" borderId="11" xfId="0" applyNumberFormat="1" applyFont="1" applyFill="1" applyBorder="1" applyAlignment="1">
      <x:alignment horizontal="center"/>
    </x:xf>
    <x:xf numFmtId="0" fontId="4" fillId="0" borderId="12" xfId="0" applyNumberFormat="1" applyFont="1" applyFill="1" applyBorder="1" applyAlignment="1">
      <x:alignment horizontal="center"/>
    </x:xf>
    <x:xf numFmtId="0" fontId="4" fillId="0" borderId="13" xfId="0" applyNumberFormat="1" applyFont="1" applyFill="1" applyBorder="1" applyAlignment="1">
      <x:alignment horizont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14" xfId="0" applyNumberFormat="1" applyFont="1" applyFill="1" applyBorder="1" applyAlignment="1">
      <x:alignment horizontal="center"/>
    </x:xf>
    <x:xf numFmtId="0" fontId="4" fillId="0" borderId="15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center"/>
    </x:xf>
    <x:xf numFmtId="0" fontId="4" fillId="0" borderId="17" xfId="0" applyNumberFormat="1" applyFont="1" applyFill="1" applyBorder="1" applyAlignment="1">
      <x:alignment horizontal="center"/>
    </x:xf>
    <x:xf numFmtId="0" fontId="4" fillId="0" borderId="18" xfId="0" applyNumberFormat="1" applyFont="1" applyFill="1" applyBorder="1" applyAlignment="1">
      <x:alignment horizontal="center"/>
    </x:xf>
    <x:xf numFmtId="0" fontId="4" fillId="0" borderId="19" xfId="0" applyNumberFormat="1" applyFont="1" applyFill="1" applyBorder="1" applyAlignment="1">
      <x:alignment horizont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4" fillId="0" borderId="15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9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200" fontId="4" fillId="0" borderId="10" xfId="0" applyNumberFormat="1" applyFont="1" applyFill="1" applyBorder="1" applyAlignment="1">
      <x:alignment horizontal="center" vertical="center"/>
    </x:xf>
    <x:xf numFmtId="200" fontId="4" fillId="0" borderId="13" xfId="0" applyNumberFormat="1" applyFont="1" applyFill="1" applyBorder="1" applyAlignment="1">
      <x:alignment horizontal="center" vertical="center"/>
    </x:xf>
    <x:xf numFmtId="200" fontId="3" fillId="2" borderId="4" xfId="0" applyNumberFormat="1" applyFont="1" applyFill="1" applyBorder="1" applyAlignment="1">
      <x:alignment horizontal="center" vertical="center"/>
    </x:xf>
    <x:xf numFmtId="200" fontId="4" fillId="0" borderId="16" xfId="0" applyNumberFormat="1" applyFont="1" applyFill="1" applyBorder="1" applyAlignment="1">
      <x:alignment horizontal="center" vertical="center"/>
    </x:xf>
    <x:xf numFmtId="200" fontId="4" fillId="0" borderId="19" xfId="0" applyNumberFormat="1" applyFont="1" applyFill="1" applyBorder="1" applyAlignment="1">
      <x:alignment horizontal="center" vertical="center"/>
    </x:xf>
    <x:xf numFmtId="200" fontId="3" fillId="2" borderId="7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21" xfId="0" applyNumberFormat="1" applyFont="1" applyFill="1" applyBorder="1" applyAlignment="1">
      <x:alignment horizont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2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4" fillId="0" borderId="23" xfId="0" applyNumberFormat="1" applyFont="1" applyFill="1" applyBorder="1" applyAlignment="1">
      <x:alignment horizont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200" fontId="4" fillId="0" borderId="21" xfId="0" applyNumberFormat="1" applyFont="1" applyFill="1" applyBorder="1" applyAlignment="1">
      <x:alignment horizontal="center" vertical="center"/>
    </x:xf>
    <x:xf numFmtId="200" fontId="4" fillId="0" borderId="2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680f63aa24daa" /><Relationship Type="http://schemas.openxmlformats.org/officeDocument/2006/relationships/theme" Target="/xl/theme/theme1.xml" Id="R7a1f053b9c54403c" /><Relationship Type="http://schemas.openxmlformats.org/officeDocument/2006/relationships/sharedStrings" Target="/xl/sharedStrings.xml" Id="R9d353ee819b3443f" /><Relationship Type="http://schemas.openxmlformats.org/officeDocument/2006/relationships/worksheet" Target="/xl/worksheets/sheet1.xml" Id="Racffe506953045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</x:cols>
  <x:sheetData>
    <x:row r="1" ht="30" customHeight="1">
      <x:c r="A1" s="4" t="str">
        <x:v>REGIONAL CADEREYTA — DISTRIBUCIÓN POR MUNICIPIO</x:v>
      </x:c>
      <x:c r="B1" s="4"/>
      <x:c r="C1" s="4"/>
      <x:c r="D1" s="4"/>
      <x:c r="E1" s="4"/>
      <x:c r="F1" s="4"/>
    </x:row>
    <x:row r="3" ht="24" customHeight="1">
      <x:c r="A3" s="11" t="str">
        <x:v>CADEREYTA DE MONTES</x:v>
      </x:c>
      <x:c r="B3" s="11"/>
      <x:c r="C3" s="11"/>
      <x:c r="D3" s="11"/>
      <x:c r="E3" s="11"/>
      <x:c r="F3" s="11"/>
    </x:row>
    <x:row r="4">
      <x:c r="A4" s="26" t="str">
        <x:v>GÉNERO</x:v>
      </x:c>
      <x:c r="B4" s="27" t="str">
        <x:v>PERSONAS</x:v>
      </x:c>
      <x:c r="C4" s="28" t="str">
        <x:v>%</x:v>
      </x:c>
    </x:row>
    <x:row r="5">
      <x:c r="A5" s="55" t="str">
        <x:v>Hombres</x:v>
      </x:c>
      <x:c r="B5" s="56" t="n">
        <x:v>42</x:v>
      </x:c>
      <x:c r="C5" s="92" t="n">
        <x:f>B5/B7</x:f>
        <x:v>0.8076923076923077</x:v>
      </x:c>
    </x:row>
    <x:row r="6">
      <x:c r="A6" s="58" t="str">
        <x:v>Mujeres</x:v>
      </x:c>
      <x:c r="B6" s="59" t="n">
        <x:v>10</x:v>
      </x:c>
      <x:c r="C6" s="93" t="n">
        <x:f>B6/B7</x:f>
        <x:v>0.19230769230769232</x:v>
      </x:c>
    </x:row>
    <x:row r="7">
      <x:c r="A7" s="83" t="str">
        <x:v>Total</x:v>
      </x:c>
      <x:c r="B7" s="84" t="n">
        <x:v>52</x:v>
      </x:c>
      <x:c r="C7" s="94" t="n">
        <x:f>SUM(C5:C6)</x:f>
        <x:v>1</x:v>
      </x:c>
    </x:row>
    <x:row r="9">
      <x:c r="A9" s="26" t="str">
        <x:v>GRUPO DE EDAD</x:v>
      </x:c>
      <x:c r="B9" s="27" t="str">
        <x:v>HOMBRES</x:v>
      </x:c>
      <x:c r="C9" s="27" t="str">
        <x:v>MUJERES</x:v>
      </x:c>
      <x:c r="D9" s="27" t="str">
        <x:v>TOTAL</x:v>
      </x:c>
      <x:c r="E9" s="28" t="str">
        <x:v>%</x:v>
      </x:c>
    </x:row>
    <x:row r="10">
      <x:c r="A10" s="55" t="str">
        <x:v>Jóvenes (18-29)</x:v>
      </x:c>
      <x:c r="B10" s="56" t="n">
        <x:v>0</x:v>
      </x:c>
      <x:c r="C10" s="56" t="n">
        <x:v>0</x:v>
      </x:c>
      <x:c r="D10" s="56" t="n">
        <x:v>0</x:v>
      </x:c>
      <x:c r="E10" s="92" t="n">
        <x:f>D10/D13</x:f>
        <x:v>0</x:v>
      </x:c>
    </x:row>
    <x:row r="11">
      <x:c r="A11" s="103" t="str">
        <x:v>Adultos (30-59)</x:v>
      </x:c>
      <x:c r="B11" s="104" t="n">
        <x:v>18</x:v>
      </x:c>
      <x:c r="C11" s="104" t="n">
        <x:v>7</x:v>
      </x:c>
      <x:c r="D11" s="104" t="n">
        <x:v>25</x:v>
      </x:c>
      <x:c r="E11" s="114" t="n">
        <x:f>D11/D13</x:f>
        <x:v>0.4807692307692308</x:v>
      </x:c>
    </x:row>
    <x:row r="12">
      <x:c r="A12" s="58" t="str">
        <x:v>Adultos mayores (60+)</x:v>
      </x:c>
      <x:c r="B12" s="59" t="n">
        <x:v>24</x:v>
      </x:c>
      <x:c r="C12" s="59" t="n">
        <x:v>3</x:v>
      </x:c>
      <x:c r="D12" s="59" t="n">
        <x:v>27</x:v>
      </x:c>
      <x:c r="E12" s="93" t="n">
        <x:f>D12/D13</x:f>
        <x:v>0.5192307692307693</x:v>
      </x:c>
    </x:row>
    <x:row r="13">
      <x:c r="A13" s="83" t="str">
        <x:v>Total</x:v>
      </x:c>
      <x:c r="B13" s="84" t="n">
        <x:v>42</x:v>
      </x:c>
      <x:c r="C13" s="84" t="n">
        <x:v>10</x:v>
      </x:c>
      <x:c r="D13" s="84" t="n">
        <x:v>52</x:v>
      </x:c>
      <x:c r="E13" s="94" t="n">
        <x:f>SUM(E10:E12)</x:f>
        <x:v>1</x:v>
      </x:c>
    </x:row>
    <x:row r="15" ht="24" customHeight="1">
      <x:c r="A15" s="11" t="str">
        <x:v>COLÓN</x:v>
      </x:c>
      <x:c r="B15" s="11"/>
      <x:c r="C15" s="11"/>
      <x:c r="D15" s="11"/>
      <x:c r="E15" s="11"/>
      <x:c r="F15" s="11"/>
    </x:row>
    <x:row r="16">
      <x:c r="A16" s="26" t="str">
        <x:v>GÉNERO</x:v>
      </x:c>
      <x:c r="B16" s="27" t="str">
        <x:v>PERSONAS</x:v>
      </x:c>
      <x:c r="C16" s="28" t="str">
        <x:v>%</x:v>
      </x:c>
    </x:row>
    <x:row r="17">
      <x:c r="A17" s="55" t="str">
        <x:v>Hombres</x:v>
      </x:c>
      <x:c r="B17" s="56" t="n">
        <x:v>21</x:v>
      </x:c>
      <x:c r="C17" s="92" t="n">
        <x:f>B17/B19</x:f>
        <x:v>0.9130434782608695</x:v>
      </x:c>
    </x:row>
    <x:row r="18">
      <x:c r="A18" s="58" t="str">
        <x:v>Mujeres</x:v>
      </x:c>
      <x:c r="B18" s="59" t="n">
        <x:v>2</x:v>
      </x:c>
      <x:c r="C18" s="93" t="n">
        <x:f>B18/B19</x:f>
        <x:v>0.08695652173913043</x:v>
      </x:c>
    </x:row>
    <x:row r="19">
      <x:c r="A19" s="83" t="str">
        <x:v>Total</x:v>
      </x:c>
      <x:c r="B19" s="84" t="n">
        <x:v>23</x:v>
      </x:c>
      <x:c r="C19" s="94" t="n">
        <x:f>SUM(C17:C18)</x:f>
        <x:v>1</x:v>
      </x:c>
    </x:row>
    <x:row r="21">
      <x:c r="A21" s="26" t="str">
        <x:v>GRUPO DE EDAD</x:v>
      </x:c>
      <x:c r="B21" s="27" t="str">
        <x:v>HOMBRES</x:v>
      </x:c>
      <x:c r="C21" s="27" t="str">
        <x:v>MUJERES</x:v>
      </x:c>
      <x:c r="D21" s="27" t="str">
        <x:v>TOTAL</x:v>
      </x:c>
      <x:c r="E21" s="28" t="str">
        <x:v>%</x:v>
      </x:c>
    </x:row>
    <x:row r="22">
      <x:c r="A22" s="55" t="str">
        <x:v>Jóvenes (18-29)</x:v>
      </x:c>
      <x:c r="B22" s="56" t="n">
        <x:v>2</x:v>
      </x:c>
      <x:c r="C22" s="56" t="n">
        <x:v>0</x:v>
      </x:c>
      <x:c r="D22" s="56" t="n">
        <x:v>2</x:v>
      </x:c>
      <x:c r="E22" s="92" t="n">
        <x:f>D22/D25</x:f>
        <x:v>0.08695652173913043</x:v>
      </x:c>
    </x:row>
    <x:row r="23">
      <x:c r="A23" s="103" t="str">
        <x:v>Adultos (30-59)</x:v>
      </x:c>
      <x:c r="B23" s="104" t="n">
        <x:v>9</x:v>
      </x:c>
      <x:c r="C23" s="104" t="n">
        <x:v>1</x:v>
      </x:c>
      <x:c r="D23" s="104" t="n">
        <x:v>10</x:v>
      </x:c>
      <x:c r="E23" s="114" t="n">
        <x:f>D23/D25</x:f>
        <x:v>0.43478260869565216</x:v>
      </x:c>
    </x:row>
    <x:row r="24">
      <x:c r="A24" s="58" t="str">
        <x:v>Adultos mayores (60+)</x:v>
      </x:c>
      <x:c r="B24" s="59" t="n">
        <x:v>10</x:v>
      </x:c>
      <x:c r="C24" s="59" t="n">
        <x:v>1</x:v>
      </x:c>
      <x:c r="D24" s="59" t="n">
        <x:v>11</x:v>
      </x:c>
      <x:c r="E24" s="93" t="n">
        <x:f>D24/D25</x:f>
        <x:v>0.4782608695652174</x:v>
      </x:c>
    </x:row>
    <x:row r="25">
      <x:c r="A25" s="83" t="str">
        <x:v>Total</x:v>
      </x:c>
      <x:c r="B25" s="84" t="n">
        <x:v>21</x:v>
      </x:c>
      <x:c r="C25" s="84" t="n">
        <x:v>2</x:v>
      </x:c>
      <x:c r="D25" s="84" t="n">
        <x:v>23</x:v>
      </x:c>
      <x:c r="E25" s="94" t="n">
        <x:f>SUM(E22:E24)</x:f>
        <x:v>1</x:v>
      </x:c>
    </x:row>
    <x:row r="27" ht="24" customHeight="1">
      <x:c r="A27" s="11" t="str">
        <x:v>EZEQUIEL MONTES</x:v>
      </x:c>
      <x:c r="B27" s="11"/>
      <x:c r="C27" s="11"/>
      <x:c r="D27" s="11"/>
      <x:c r="E27" s="11"/>
      <x:c r="F27" s="11"/>
    </x:row>
    <x:row r="28">
      <x:c r="A28" s="26" t="str">
        <x:v>GÉNERO</x:v>
      </x:c>
      <x:c r="B28" s="27" t="str">
        <x:v>PERSONAS</x:v>
      </x:c>
      <x:c r="C28" s="28" t="str">
        <x:v>%</x:v>
      </x:c>
    </x:row>
    <x:row r="29">
      <x:c r="A29" s="55" t="str">
        <x:v>Hombres</x:v>
      </x:c>
      <x:c r="B29" s="56" t="n">
        <x:v>12</x:v>
      </x:c>
      <x:c r="C29" s="92" t="n">
        <x:f>B29/B31</x:f>
        <x:v>0.75</x:v>
      </x:c>
    </x:row>
    <x:row r="30">
      <x:c r="A30" s="58" t="str">
        <x:v>Mujeres</x:v>
      </x:c>
      <x:c r="B30" s="59" t="n">
        <x:v>4</x:v>
      </x:c>
      <x:c r="C30" s="93" t="n">
        <x:f>B30/B31</x:f>
        <x:v>0.25</x:v>
      </x:c>
    </x:row>
    <x:row r="31">
      <x:c r="A31" s="83" t="str">
        <x:v>Total</x:v>
      </x:c>
      <x:c r="B31" s="84" t="n">
        <x:v>16</x:v>
      </x:c>
      <x:c r="C31" s="94" t="n">
        <x:f>SUM(C29:C30)</x:f>
        <x:v>1</x:v>
      </x:c>
    </x:row>
    <x:row r="33">
      <x:c r="A33" s="26" t="str">
        <x:v>GRUPO DE EDAD</x:v>
      </x:c>
      <x:c r="B33" s="27" t="str">
        <x:v>HOMBRES</x:v>
      </x:c>
      <x:c r="C33" s="27" t="str">
        <x:v>MUJERES</x:v>
      </x:c>
      <x:c r="D33" s="27" t="str">
        <x:v>TOTAL</x:v>
      </x:c>
      <x:c r="E33" s="28" t="str">
        <x:v>%</x:v>
      </x:c>
    </x:row>
    <x:row r="34">
      <x:c r="A34" s="55" t="str">
        <x:v>Jóvenes (18-29)</x:v>
      </x:c>
      <x:c r="B34" s="56" t="n">
        <x:v>0</x:v>
      </x:c>
      <x:c r="C34" s="56" t="n">
        <x:v>0</x:v>
      </x:c>
      <x:c r="D34" s="56" t="n">
        <x:v>0</x:v>
      </x:c>
      <x:c r="E34" s="92" t="n">
        <x:f>D34/D37</x:f>
        <x:v>0</x:v>
      </x:c>
    </x:row>
    <x:row r="35">
      <x:c r="A35" s="103" t="str">
        <x:v>Adultos (30-59)</x:v>
      </x:c>
      <x:c r="B35" s="104" t="n">
        <x:v>7</x:v>
      </x:c>
      <x:c r="C35" s="104" t="n">
        <x:v>3</x:v>
      </x:c>
      <x:c r="D35" s="104" t="n">
        <x:v>10</x:v>
      </x:c>
      <x:c r="E35" s="114" t="n">
        <x:f>D35/D37</x:f>
        <x:v>0.625</x:v>
      </x:c>
    </x:row>
    <x:row r="36">
      <x:c r="A36" s="58" t="str">
        <x:v>Adultos mayores (60+)</x:v>
      </x:c>
      <x:c r="B36" s="59" t="n">
        <x:v>5</x:v>
      </x:c>
      <x:c r="C36" s="59" t="n">
        <x:v>1</x:v>
      </x:c>
      <x:c r="D36" s="59" t="n">
        <x:v>6</x:v>
      </x:c>
      <x:c r="E36" s="93" t="n">
        <x:f>D36/D37</x:f>
        <x:v>0.375</x:v>
      </x:c>
    </x:row>
    <x:row r="37">
      <x:c r="A37" s="83" t="str">
        <x:v>Total</x:v>
      </x:c>
      <x:c r="B37" s="84" t="n">
        <x:v>12</x:v>
      </x:c>
      <x:c r="C37" s="84" t="n">
        <x:v>4</x:v>
      </x:c>
      <x:c r="D37" s="84" t="n">
        <x:v>16</x:v>
      </x:c>
      <x:c r="E37" s="94" t="n">
        <x:f>SUM(E34:E36)</x:f>
        <x:v>1</x:v>
      </x:c>
    </x:row>
    <x:row r="40">
      <x:c r="A40" s="11" t="str">
        <x:v>TOTAL — CADEREYTA, COLÓN Y EZEQUIEL MONTES</x:v>
      </x:c>
      <x:c r="B40" s="11"/>
      <x:c r="C40" s="11"/>
      <x:c r="D40" s="11"/>
      <x:c r="E40" s="11"/>
      <x:c r="F40" s="11"/>
    </x:row>
    <x:row r="41">
      <x:c r="A41" s="26" t="str">
        <x:v>BENEF.</x:v>
      </x:c>
      <x:c r="B41" s="27" t="str">
        <x:v>HOMBRES</x:v>
      </x:c>
      <x:c r="C41" s="27" t="str">
        <x:v>MUJERES</x:v>
      </x:c>
      <x:c r="D41" s="27" t="str">
        <x:v>JÓVENES 18-29</x:v>
      </x:c>
      <x:c r="E41" s="27" t="str">
        <x:v>ADULTOS 30-59</x:v>
      </x:c>
      <x:c r="F41" s="28" t="str">
        <x:v>ADULTOS MAYORES 60+</x:v>
      </x:c>
    </x:row>
    <x:row r="42">
      <x:c r="A42" s="83" t="n">
        <x:v>91</x:v>
      </x:c>
      <x:c r="B42" s="84" t="n">
        <x:v>75</x:v>
      </x:c>
      <x:c r="C42" s="84" t="n">
        <x:v>16</x:v>
      </x:c>
      <x:c r="D42" s="84" t="n">
        <x:v>2</x:v>
      </x:c>
      <x:c r="E42" s="84" t="n">
        <x:v>45</x:v>
      </x:c>
      <x:c r="F42" s="85" t="n">
        <x:v>44</x:v>
      </x:c>
    </x:row>
  </x:sheetData>
  <x:mergeCells>
    <x:mergeCell ref="A1:F1"/>
    <x:mergeCell ref="A3:F3"/>
    <x:mergeCell ref="A15:F15"/>
    <x:mergeCell ref="A27:F27"/>
    <x:mergeCell ref="A40:F40"/>
  </x:mergeCells>
  <x:pageMargins left="0.7" right="0.7" top="0.75" bottom="0.75" header="0.3" footer="0.3"/>
</x:worksheet>
</file>