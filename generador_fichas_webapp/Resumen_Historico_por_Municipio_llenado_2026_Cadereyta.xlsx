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parsar\Downloads\01_CLAUDE_2026_Repositorio\generador_fichas_webapp\"/>
    </mc:Choice>
  </mc:AlternateContent>
  <xr:revisionPtr revIDLastSave="0" documentId="13_ncr:1_{D8D37E5F-8FD5-4BF3-AE67-EBF3C24091C3}" xr6:coauthVersionLast="36" xr6:coauthVersionMax="36" xr10:uidLastSave="{00000000-0000-0000-0000-000000000000}"/>
  <bookViews>
    <workbookView xWindow="0" yWindow="0" windowWidth="15315" windowHeight="7725" xr2:uid="{00000000-000D-0000-FFFF-FFFF00000000}"/>
  </bookViews>
  <sheets>
    <sheet name="Por Emer-Prod" sheetId="1" r:id="rId1"/>
    <sheet name="Por Aportaciones" sheetId="2" r:id="rId2"/>
    <sheet name="Control de criterios" sheetId="3" r:id="rId3"/>
  </sheets>
  <calcPr calcId="191029"/>
</workbook>
</file>

<file path=xl/calcChain.xml><?xml version="1.0" encoding="utf-8"?>
<calcChain xmlns="http://schemas.openxmlformats.org/spreadsheetml/2006/main">
  <c r="Z16" i="2" l="1"/>
  <c r="Y16" i="2"/>
  <c r="X16" i="2"/>
  <c r="W16" i="2"/>
  <c r="V16" i="2"/>
  <c r="AE17" i="1"/>
  <c r="AD17" i="1"/>
  <c r="AC17" i="1"/>
  <c r="AB17" i="1"/>
  <c r="AA17" i="1"/>
  <c r="Z17" i="1"/>
</calcChain>
</file>

<file path=xl/sharedStrings.xml><?xml version="1.0" encoding="utf-8"?>
<sst xmlns="http://schemas.openxmlformats.org/spreadsheetml/2006/main" count="203" uniqueCount="77">
  <si>
    <t>APOYOS</t>
  </si>
  <si>
    <t>MONTO</t>
  </si>
  <si>
    <t>REGIÓN SJR</t>
  </si>
  <si>
    <t>EMERGENTES</t>
  </si>
  <si>
    <t>PRODUCTIVIDAD</t>
  </si>
  <si>
    <t>SUBTOTAL</t>
  </si>
  <si>
    <t>AMEALCO DE BONFIL</t>
  </si>
  <si>
    <t>PEDRO ESCOBEDO</t>
  </si>
  <si>
    <t>SAN JUAN DEL RÍO</t>
  </si>
  <si>
    <t>TEQUISQUIAPAN</t>
  </si>
  <si>
    <t>REGIÓN CADEREYTA</t>
  </si>
  <si>
    <t>CADEREYTA</t>
  </si>
  <si>
    <t>COLÓN</t>
  </si>
  <si>
    <t>EZEQUIEL MONTES</t>
  </si>
  <si>
    <t>PEÑAMILLER</t>
  </si>
  <si>
    <t>SAN JOAQUÍN</t>
  </si>
  <si>
    <t>TOLIMÁN</t>
  </si>
  <si>
    <t>REGIÓN QUERÉTARO</t>
  </si>
  <si>
    <t>CORREGIDORA</t>
  </si>
  <si>
    <t>EL MARQUÉS</t>
  </si>
  <si>
    <t>HUIMILPAN</t>
  </si>
  <si>
    <t>QUERÉTARO</t>
  </si>
  <si>
    <t>REGIÓN JALPAN</t>
  </si>
  <si>
    <t>ARROYO SECO</t>
  </si>
  <si>
    <t>JALPAN DE SERRA</t>
  </si>
  <si>
    <t>LANDA DE MATAMOROS</t>
  </si>
  <si>
    <t>PINAL DE AMOLES</t>
  </si>
  <si>
    <t>SUMATORIA REGIONES</t>
  </si>
  <si>
    <t>OTRAS INVER ESTATALES</t>
  </si>
  <si>
    <t>TOTAL</t>
  </si>
  <si>
    <t>FEDERAL</t>
  </si>
  <si>
    <t>ESTATAL</t>
  </si>
  <si>
    <t>MUNICIPAL</t>
  </si>
  <si>
    <t>BENEFICIARIOS</t>
  </si>
  <si>
    <t>Campo</t>
  </si>
  <si>
    <t>Criterio aplicado</t>
  </si>
  <si>
    <t>Fuente</t>
  </si>
  <si>
    <t>Observación</t>
  </si>
  <si>
    <t>Estado</t>
  </si>
  <si>
    <t>Fecha</t>
  </si>
  <si>
    <t>Apoyos</t>
  </si>
  <si>
    <t>Conteo de folios/apoyos autorizados</t>
  </si>
  <si>
    <t>Criterio confirmado por usuario</t>
  </si>
  <si>
    <t>No beneficiarios únicos</t>
  </si>
  <si>
    <t>Aplicado</t>
  </si>
  <si>
    <t>2026-08-12</t>
  </si>
  <si>
    <t>Monto</t>
  </si>
  <si>
    <t>Monto total del proyecto</t>
  </si>
  <si>
    <t>No solo apoyo estatal</t>
  </si>
  <si>
    <t>Clasificación</t>
  </si>
  <si>
    <t>Emergentes/Productividad</t>
  </si>
  <si>
    <t>DINAMISMO AGROALIMENTARIO clasificado como Productividad</t>
  </si>
  <si>
    <t>Estatus</t>
  </si>
  <si>
    <t>Solo AUTORIZADA</t>
  </si>
  <si>
    <t>Criterio recomendado y aceptado</t>
  </si>
  <si>
    <t>Se excluyen negativos/cancelados/no procedentes si existieran</t>
  </si>
  <si>
    <t>Año</t>
  </si>
  <si>
    <t>Ejercicio presupuestal</t>
  </si>
  <si>
    <t>Base Cadereyta 2026</t>
  </si>
  <si>
    <t>Municipio</t>
  </si>
  <si>
    <t>Municipio solicitante; si no existe, municipio proyecto</t>
  </si>
  <si>
    <t>En Base Cadereyta se usó Municipio Proyecto</t>
  </si>
  <si>
    <t>2027</t>
  </si>
  <si>
    <t>Vacío</t>
  </si>
  <si>
    <t>No se cargan ceros</t>
  </si>
  <si>
    <t>Pendiente</t>
  </si>
  <si>
    <t>Fuente cargada</t>
  </si>
  <si>
    <t>Base Cadereyta Programas sedea.xlsx</t>
  </si>
  <si>
    <t>Archivo adjunto</t>
  </si>
  <si>
    <t>Se cargó únicamente Regional Cadereyta 2026</t>
  </si>
  <si>
    <t>Municipio usado</t>
  </si>
  <si>
    <t>Fuente municipio</t>
  </si>
  <si>
    <t>Folios</t>
  </si>
  <si>
    <t>Monto total</t>
  </si>
  <si>
    <t>Estatal</t>
  </si>
  <si>
    <t>Beneficiarios</t>
  </si>
  <si>
    <t>Municipio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</si>
</sst>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 x14ac:knownFonts="1">
    <font>
      <sz val="11"/>
      <color theme="1"/>
      <name val="Calibri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E6B9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0" fillId="0" borderId="0" xfId="0" applyAlignment="1"/>
    <xf numFmtId="0" fontId="2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 applyAlignment="1">
      <alignment wrapText="1"/>
    </xf>
    <xf numFmtId="3" fontId="0" fillId="0" borderId="0" xfId="0" applyNumberFormat="1" applyFont="1" applyFill="1" applyBorder="1"/>
    <xf numFmtId="164" fontId="0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left" vertical="center" wrapText="1"/>
    </xf>
    <xf numFmtId="0" fontId="4" fillId="0" borderId="5" xfId="0" applyNumberFormat="1" applyFont="1" applyFill="1" applyBorder="1" applyAlignment="1">
      <alignment horizontal="left" vertical="center" wrapText="1"/>
    </xf>
    <xf numFmtId="0" fontId="4" fillId="0" borderId="6" xfId="0" applyNumberFormat="1" applyFont="1" applyFill="1" applyBorder="1" applyAlignment="1">
      <alignment horizontal="left" vertical="center" wrapText="1"/>
    </xf>
    <xf numFmtId="0" fontId="4" fillId="0" borderId="7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4" fillId="0" borderId="8" xfId="0" applyNumberFormat="1" applyFont="1" applyFill="1" applyBorder="1" applyAlignment="1">
      <alignment horizontal="left" vertical="center" wrapText="1"/>
    </xf>
    <xf numFmtId="0" fontId="4" fillId="0" borderId="9" xfId="0" applyNumberFormat="1" applyFont="1" applyFill="1" applyBorder="1" applyAlignment="1">
      <alignment horizontal="left" vertical="center" wrapText="1"/>
    </xf>
    <xf numFmtId="0" fontId="4" fillId="0" borderId="10" xfId="0" applyNumberFormat="1" applyFont="1" applyFill="1" applyBorder="1" applyAlignment="1">
      <alignment horizontal="left" vertical="center" wrapText="1"/>
    </xf>
    <xf numFmtId="0" fontId="4" fillId="0" borderId="11" xfId="0" applyNumberFormat="1" applyFont="1" applyFill="1" applyBorder="1" applyAlignment="1">
      <alignment horizontal="left" vertical="center" wrapText="1"/>
    </xf>
    <xf numFmtId="3" fontId="4" fillId="0" borderId="5" xfId="0" applyNumberFormat="1" applyFont="1" applyFill="1" applyBorder="1" applyAlignment="1">
      <alignment horizontal="left" vertical="center" wrapText="1"/>
    </xf>
    <xf numFmtId="3" fontId="4" fillId="0" borderId="0" xfId="0" applyNumberFormat="1" applyFont="1" applyFill="1" applyBorder="1" applyAlignment="1">
      <alignment horizontal="left" vertical="center" wrapText="1"/>
    </xf>
    <xf numFmtId="3" fontId="4" fillId="0" borderId="10" xfId="0" applyNumberFormat="1" applyFont="1" applyFill="1" applyBorder="1" applyAlignment="1">
      <alignment horizontal="left" vertical="center" wrapText="1"/>
    </xf>
    <xf numFmtId="164" fontId="4" fillId="0" borderId="5" xfId="0" applyNumberFormat="1" applyFont="1" applyFill="1" applyBorder="1" applyAlignment="1">
      <alignment horizontal="left" vertical="center" wrapText="1"/>
    </xf>
    <xf numFmtId="164" fontId="4" fillId="0" borderId="6" xfId="0" applyNumberFormat="1" applyFont="1" applyFill="1" applyBorder="1" applyAlignment="1">
      <alignment horizontal="left" vertical="center" wrapText="1"/>
    </xf>
    <xf numFmtId="164" fontId="4" fillId="0" borderId="0" xfId="0" applyNumberFormat="1" applyFont="1" applyFill="1" applyBorder="1" applyAlignment="1">
      <alignment horizontal="left" vertical="center" wrapText="1"/>
    </xf>
    <xf numFmtId="164" fontId="4" fillId="0" borderId="8" xfId="0" applyNumberFormat="1" applyFont="1" applyFill="1" applyBorder="1" applyAlignment="1">
      <alignment horizontal="left" vertical="center" wrapText="1"/>
    </xf>
    <xf numFmtId="164" fontId="4" fillId="0" borderId="10" xfId="0" applyNumberFormat="1" applyFont="1" applyFill="1" applyBorder="1" applyAlignment="1">
      <alignment horizontal="left" vertical="center" wrapText="1"/>
    </xf>
    <xf numFmtId="164" fontId="4" fillId="0" borderId="1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32"/>
  <sheetViews>
    <sheetView tabSelected="1" workbookViewId="0">
      <selection activeCell="L29" sqref="L29"/>
    </sheetView>
  </sheetViews>
  <sheetFormatPr baseColWidth="10" defaultRowHeight="15" x14ac:dyDescent="0.25"/>
  <cols>
    <col min="1" max="1" width="34.7109375" customWidth="1"/>
    <col min="26" max="26" width="12.5703125" bestFit="1" customWidth="1"/>
    <col min="27" max="27" width="15.7109375" bestFit="1" customWidth="1"/>
    <col min="29" max="29" width="12.5703125" bestFit="1" customWidth="1"/>
    <col min="30" max="30" width="15.7109375" bestFit="1" customWidth="1"/>
    <col min="31" max="31" width="12.7109375" bestFit="1" customWidth="1"/>
  </cols>
  <sheetData>
    <row r="2" spans="1:37" x14ac:dyDescent="0.25">
      <c r="A2" s="7"/>
      <c r="B2" s="32">
        <v>2022</v>
      </c>
      <c r="C2" s="32"/>
      <c r="D2" s="32"/>
      <c r="E2" s="32"/>
      <c r="F2" s="32"/>
      <c r="G2" s="32"/>
      <c r="H2" s="32">
        <v>2023</v>
      </c>
      <c r="I2" s="32"/>
      <c r="J2" s="32"/>
      <c r="K2" s="32"/>
      <c r="L2" s="32"/>
      <c r="M2" s="32"/>
      <c r="N2" s="32">
        <v>2024</v>
      </c>
      <c r="O2" s="32"/>
      <c r="P2" s="32"/>
      <c r="Q2" s="32"/>
      <c r="R2" s="32"/>
      <c r="S2" s="32"/>
      <c r="T2" s="32">
        <v>2025</v>
      </c>
      <c r="U2" s="32"/>
      <c r="V2" s="32"/>
      <c r="W2" s="32"/>
      <c r="X2" s="32"/>
      <c r="Y2" s="32"/>
      <c r="Z2" s="32">
        <v>2026</v>
      </c>
      <c r="AA2" s="32"/>
      <c r="AB2" s="32"/>
      <c r="AC2" s="32"/>
      <c r="AD2" s="32"/>
      <c r="AE2" s="32"/>
      <c r="AF2" s="32">
        <v>2027</v>
      </c>
      <c r="AG2" s="32"/>
      <c r="AH2" s="32"/>
      <c r="AI2" s="32"/>
      <c r="AJ2" s="32"/>
      <c r="AK2" s="32"/>
    </row>
    <row r="3" spans="1:37" x14ac:dyDescent="0.25">
      <c r="A3" s="7"/>
      <c r="B3" s="32" t="s">
        <v>0</v>
      </c>
      <c r="C3" s="32"/>
      <c r="D3" s="32"/>
      <c r="E3" s="32" t="s">
        <v>1</v>
      </c>
      <c r="F3" s="32"/>
      <c r="G3" s="32"/>
      <c r="H3" s="32" t="s">
        <v>0</v>
      </c>
      <c r="I3" s="32"/>
      <c r="J3" s="32"/>
      <c r="K3" s="32" t="s">
        <v>1</v>
      </c>
      <c r="L3" s="32"/>
      <c r="M3" s="32"/>
      <c r="N3" s="32" t="s">
        <v>0</v>
      </c>
      <c r="O3" s="32"/>
      <c r="P3" s="32"/>
      <c r="Q3" s="32" t="s">
        <v>1</v>
      </c>
      <c r="R3" s="32"/>
      <c r="S3" s="32"/>
      <c r="T3" s="32" t="s">
        <v>0</v>
      </c>
      <c r="U3" s="32"/>
      <c r="V3" s="32"/>
      <c r="W3" s="32" t="s">
        <v>1</v>
      </c>
      <c r="X3" s="32"/>
      <c r="Y3" s="32"/>
      <c r="Z3" s="32" t="s">
        <v>0</v>
      </c>
      <c r="AA3" s="32"/>
      <c r="AB3" s="32"/>
      <c r="AC3" s="32" t="s">
        <v>1</v>
      </c>
      <c r="AD3" s="32"/>
      <c r="AE3" s="32"/>
      <c r="AF3" s="32" t="s">
        <v>0</v>
      </c>
      <c r="AG3" s="32"/>
      <c r="AH3" s="32"/>
      <c r="AI3" s="32" t="s">
        <v>1</v>
      </c>
      <c r="AJ3" s="32"/>
      <c r="AK3" s="32"/>
    </row>
    <row r="4" spans="1:37" ht="15.75" x14ac:dyDescent="0.25">
      <c r="A4" s="2" t="s">
        <v>2</v>
      </c>
      <c r="B4" t="s">
        <v>3</v>
      </c>
      <c r="C4" t="s">
        <v>4</v>
      </c>
      <c r="D4" t="s">
        <v>5</v>
      </c>
      <c r="E4" t="s">
        <v>3</v>
      </c>
      <c r="F4" t="s">
        <v>4</v>
      </c>
      <c r="G4" t="s">
        <v>5</v>
      </c>
      <c r="H4" t="s">
        <v>3</v>
      </c>
      <c r="I4" t="s">
        <v>4</v>
      </c>
      <c r="J4" t="s">
        <v>5</v>
      </c>
      <c r="K4" t="s">
        <v>3</v>
      </c>
      <c r="L4" t="s">
        <v>4</v>
      </c>
      <c r="M4" t="s">
        <v>5</v>
      </c>
      <c r="N4" t="s">
        <v>3</v>
      </c>
      <c r="O4" t="s">
        <v>4</v>
      </c>
      <c r="P4" t="s">
        <v>5</v>
      </c>
      <c r="Q4" t="s">
        <v>3</v>
      </c>
      <c r="R4" t="s">
        <v>4</v>
      </c>
      <c r="S4" t="s">
        <v>5</v>
      </c>
      <c r="T4" t="s">
        <v>3</v>
      </c>
      <c r="U4" t="s">
        <v>4</v>
      </c>
      <c r="V4" t="s">
        <v>5</v>
      </c>
      <c r="W4" t="s">
        <v>3</v>
      </c>
      <c r="X4" t="s">
        <v>4</v>
      </c>
      <c r="Y4" t="s">
        <v>5</v>
      </c>
      <c r="Z4" t="s">
        <v>3</v>
      </c>
      <c r="AA4" t="s">
        <v>4</v>
      </c>
      <c r="AB4" t="s">
        <v>5</v>
      </c>
      <c r="AC4" t="s">
        <v>3</v>
      </c>
      <c r="AD4" t="s">
        <v>4</v>
      </c>
      <c r="AE4" t="s">
        <v>5</v>
      </c>
      <c r="AF4" t="s">
        <v>3</v>
      </c>
      <c r="AG4" t="s">
        <v>4</v>
      </c>
      <c r="AH4" t="s">
        <v>5</v>
      </c>
      <c r="AI4" t="s">
        <v>3</v>
      </c>
      <c r="AJ4" t="s">
        <v>4</v>
      </c>
      <c r="AK4" t="s">
        <v>5</v>
      </c>
    </row>
    <row r="5" spans="1:37" ht="15.75" x14ac:dyDescent="0.25">
      <c r="A5" s="8" t="s">
        <v>6</v>
      </c>
    </row>
    <row r="6" spans="1:37" ht="15.75" x14ac:dyDescent="0.25">
      <c r="A6" s="8" t="s">
        <v>7</v>
      </c>
    </row>
    <row r="7" spans="1:37" ht="15.75" x14ac:dyDescent="0.25">
      <c r="A7" s="8" t="s">
        <v>8</v>
      </c>
    </row>
    <row r="8" spans="1:37" ht="15.75" x14ac:dyDescent="0.25">
      <c r="A8" s="8" t="s">
        <v>9</v>
      </c>
    </row>
    <row r="9" spans="1:37" ht="15.75" x14ac:dyDescent="0.25">
      <c r="A9" s="1" t="s">
        <v>5</v>
      </c>
    </row>
    <row r="10" spans="1:37" ht="15.75" x14ac:dyDescent="0.25">
      <c r="A10" s="2" t="s">
        <v>10</v>
      </c>
    </row>
    <row r="11" spans="1:37" ht="15.75" x14ac:dyDescent="0.25">
      <c r="A11" s="1" t="s">
        <v>11</v>
      </c>
      <c r="Z11" s="9">
        <v>0</v>
      </c>
      <c r="AA11" s="9">
        <v>52</v>
      </c>
      <c r="AB11" s="9">
        <v>52</v>
      </c>
      <c r="AC11" s="10">
        <v>0</v>
      </c>
      <c r="AD11" s="10">
        <v>2367782.37</v>
      </c>
      <c r="AE11" s="10">
        <v>2367782.37</v>
      </c>
    </row>
    <row r="12" spans="1:37" ht="15.75" x14ac:dyDescent="0.25">
      <c r="A12" s="1" t="s">
        <v>12</v>
      </c>
      <c r="Z12" s="9">
        <v>0</v>
      </c>
      <c r="AA12" s="9">
        <v>23</v>
      </c>
      <c r="AB12" s="9">
        <v>23</v>
      </c>
      <c r="AC12" s="10">
        <v>0</v>
      </c>
      <c r="AD12" s="10">
        <v>1903822.5</v>
      </c>
      <c r="AE12" s="10">
        <v>1903822.5</v>
      </c>
    </row>
    <row r="13" spans="1:37" ht="15.75" x14ac:dyDescent="0.25">
      <c r="A13" s="1" t="s">
        <v>13</v>
      </c>
      <c r="Z13" s="9">
        <v>0</v>
      </c>
      <c r="AA13" s="9">
        <v>16</v>
      </c>
      <c r="AB13" s="9">
        <v>16</v>
      </c>
      <c r="AC13" s="10">
        <v>0</v>
      </c>
      <c r="AD13" s="10">
        <v>1842593.18</v>
      </c>
      <c r="AE13" s="10">
        <v>1842593.18</v>
      </c>
    </row>
    <row r="14" spans="1:37" ht="15.75" x14ac:dyDescent="0.25">
      <c r="A14" s="1" t="s">
        <v>14</v>
      </c>
      <c r="Z14" s="9">
        <v>0</v>
      </c>
      <c r="AA14" s="9">
        <v>2</v>
      </c>
      <c r="AB14" s="9">
        <v>2</v>
      </c>
      <c r="AC14" s="10">
        <v>0</v>
      </c>
      <c r="AD14" s="10">
        <v>68800</v>
      </c>
      <c r="AE14" s="10">
        <v>68800</v>
      </c>
    </row>
    <row r="15" spans="1:37" ht="15.75" x14ac:dyDescent="0.25">
      <c r="A15" s="1" t="s">
        <v>15</v>
      </c>
      <c r="Z15" s="9">
        <v>0</v>
      </c>
      <c r="AA15" s="9">
        <v>3</v>
      </c>
      <c r="AB15" s="9">
        <v>3</v>
      </c>
      <c r="AC15" s="10">
        <v>0</v>
      </c>
      <c r="AD15" s="10">
        <v>307300</v>
      </c>
      <c r="AE15" s="10">
        <v>307300</v>
      </c>
    </row>
    <row r="16" spans="1:37" ht="15.75" x14ac:dyDescent="0.25">
      <c r="A16" s="1" t="s">
        <v>16</v>
      </c>
      <c r="Z16" s="9">
        <v>0</v>
      </c>
      <c r="AA16" s="9">
        <v>31</v>
      </c>
      <c r="AB16" s="9">
        <v>31</v>
      </c>
      <c r="AC16" s="10">
        <v>0</v>
      </c>
      <c r="AD16" s="10">
        <v>926353.61</v>
      </c>
      <c r="AE16" s="10">
        <v>926353.61</v>
      </c>
    </row>
    <row r="17" spans="1:31" ht="15.75" x14ac:dyDescent="0.25">
      <c r="A17" s="1" t="s">
        <v>5</v>
      </c>
      <c r="Z17" s="9">
        <f t="shared" ref="Z17:AE17" si="0">SUM(Z11:Z16)</f>
        <v>0</v>
      </c>
      <c r="AA17" s="9">
        <f t="shared" si="0"/>
        <v>127</v>
      </c>
      <c r="AB17" s="9">
        <f t="shared" si="0"/>
        <v>127</v>
      </c>
      <c r="AC17" s="10">
        <f t="shared" si="0"/>
        <v>0</v>
      </c>
      <c r="AD17" s="10">
        <f t="shared" si="0"/>
        <v>7416651.6600000001</v>
      </c>
      <c r="AE17" s="10">
        <f t="shared" si="0"/>
        <v>7416651.6600000001</v>
      </c>
    </row>
    <row r="18" spans="1:31" ht="15.75" x14ac:dyDescent="0.25">
      <c r="A18" s="2" t="s">
        <v>17</v>
      </c>
    </row>
    <row r="19" spans="1:31" ht="15.75" x14ac:dyDescent="0.25">
      <c r="A19" s="1" t="s">
        <v>18</v>
      </c>
    </row>
    <row r="20" spans="1:31" ht="15.75" x14ac:dyDescent="0.25">
      <c r="A20" s="1" t="s">
        <v>19</v>
      </c>
    </row>
    <row r="21" spans="1:31" ht="15.75" x14ac:dyDescent="0.25">
      <c r="A21" s="1" t="s">
        <v>20</v>
      </c>
    </row>
    <row r="22" spans="1:31" ht="15.75" x14ac:dyDescent="0.25">
      <c r="A22" s="1" t="s">
        <v>21</v>
      </c>
    </row>
    <row r="23" spans="1:31" ht="15.75" x14ac:dyDescent="0.25">
      <c r="A23" s="1" t="s">
        <v>5</v>
      </c>
    </row>
    <row r="24" spans="1:31" ht="15.75" x14ac:dyDescent="0.25">
      <c r="A24" s="2" t="s">
        <v>22</v>
      </c>
    </row>
    <row r="25" spans="1:31" ht="15.75" x14ac:dyDescent="0.25">
      <c r="A25" s="1" t="s">
        <v>23</v>
      </c>
    </row>
    <row r="26" spans="1:31" ht="15.75" x14ac:dyDescent="0.25">
      <c r="A26" s="1" t="s">
        <v>24</v>
      </c>
    </row>
    <row r="27" spans="1:31" ht="15.75" x14ac:dyDescent="0.25">
      <c r="A27" s="1" t="s">
        <v>25</v>
      </c>
    </row>
    <row r="28" spans="1:31" ht="15.75" x14ac:dyDescent="0.25">
      <c r="A28" s="1" t="s">
        <v>26</v>
      </c>
    </row>
    <row r="29" spans="1:31" ht="15.75" x14ac:dyDescent="0.25">
      <c r="A29" s="1" t="s">
        <v>5</v>
      </c>
    </row>
    <row r="30" spans="1:31" ht="15.75" x14ac:dyDescent="0.25">
      <c r="A30" s="1" t="s">
        <v>27</v>
      </c>
    </row>
    <row r="31" spans="1:31" ht="15.75" x14ac:dyDescent="0.25">
      <c r="A31" s="2" t="s">
        <v>28</v>
      </c>
    </row>
    <row r="32" spans="1:31" ht="15.75" x14ac:dyDescent="0.25">
      <c r="A32" s="2" t="s">
        <v>29</v>
      </c>
    </row>
  </sheetData>
  <mergeCells count="18">
    <mergeCell ref="B3:D3"/>
    <mergeCell ref="E3:G3"/>
    <mergeCell ref="H2:M2"/>
    <mergeCell ref="N2:S2"/>
    <mergeCell ref="T2:Y2"/>
    <mergeCell ref="H3:J3"/>
    <mergeCell ref="K3:M3"/>
    <mergeCell ref="N3:P3"/>
    <mergeCell ref="Q3:S3"/>
    <mergeCell ref="T3:V3"/>
    <mergeCell ref="W3:Y3"/>
    <mergeCell ref="B2:G2"/>
    <mergeCell ref="Z2:AE2"/>
    <mergeCell ref="Z3:AB3"/>
    <mergeCell ref="AC3:AE3"/>
    <mergeCell ref="AF2:AK2"/>
    <mergeCell ref="AF3:AH3"/>
    <mergeCell ref="AI3:A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31"/>
  <sheetViews>
    <sheetView topLeftCell="D1" workbookViewId="0"/>
  </sheetViews>
  <sheetFormatPr baseColWidth="10" defaultRowHeight="15" x14ac:dyDescent="0.25"/>
  <cols>
    <col min="1" max="1" width="37.42578125" customWidth="1"/>
    <col min="2" max="2" width="8.5703125" customWidth="1"/>
    <col min="3" max="3" width="8.42578125" customWidth="1"/>
    <col min="4" max="4" width="11" customWidth="1"/>
    <col min="5" max="5" width="14.28515625" customWidth="1"/>
    <col min="6" max="6" width="10" customWidth="1"/>
    <col min="22" max="22" width="8.5703125" bestFit="1" customWidth="1"/>
    <col min="23" max="23" width="12.7109375" bestFit="1" customWidth="1"/>
    <col min="25" max="25" width="14.28515625" bestFit="1" customWidth="1"/>
    <col min="26" max="26" width="12.7109375" bestFit="1" customWidth="1"/>
  </cols>
  <sheetData>
    <row r="2" spans="1:26" x14ac:dyDescent="0.25">
      <c r="A2" s="3"/>
      <c r="B2" s="32">
        <v>2022</v>
      </c>
      <c r="C2" s="32"/>
      <c r="D2" s="32"/>
      <c r="E2" s="32"/>
      <c r="F2" s="32"/>
      <c r="G2" s="32">
        <v>2023</v>
      </c>
      <c r="H2" s="32"/>
      <c r="I2" s="32"/>
      <c r="J2" s="32"/>
      <c r="K2" s="32"/>
      <c r="L2" s="32">
        <v>2024</v>
      </c>
      <c r="M2" s="32"/>
      <c r="N2" s="32"/>
      <c r="O2" s="32"/>
      <c r="P2" s="32"/>
      <c r="Q2" s="32">
        <v>2025</v>
      </c>
      <c r="R2" s="32"/>
      <c r="S2" s="32"/>
      <c r="T2" s="32"/>
      <c r="U2" s="32"/>
      <c r="V2" s="32">
        <v>2026</v>
      </c>
      <c r="W2" s="32"/>
      <c r="X2" s="32"/>
      <c r="Y2" s="32"/>
      <c r="Z2" s="32"/>
    </row>
    <row r="3" spans="1:26" ht="15.75" x14ac:dyDescent="0.25">
      <c r="A3" s="4" t="s">
        <v>2</v>
      </c>
      <c r="B3" t="s">
        <v>30</v>
      </c>
      <c r="C3" t="s">
        <v>31</v>
      </c>
      <c r="D3" t="s">
        <v>32</v>
      </c>
      <c r="E3" t="s">
        <v>33</v>
      </c>
      <c r="F3" t="s">
        <v>5</v>
      </c>
      <c r="G3" t="s">
        <v>30</v>
      </c>
      <c r="H3" t="s">
        <v>31</v>
      </c>
      <c r="I3" t="s">
        <v>32</v>
      </c>
      <c r="J3" t="s">
        <v>33</v>
      </c>
      <c r="K3" t="s">
        <v>5</v>
      </c>
      <c r="L3" t="s">
        <v>30</v>
      </c>
      <c r="M3" t="s">
        <v>31</v>
      </c>
      <c r="N3" t="s">
        <v>32</v>
      </c>
      <c r="O3" t="s">
        <v>33</v>
      </c>
      <c r="P3" t="s">
        <v>5</v>
      </c>
      <c r="Q3" t="s">
        <v>30</v>
      </c>
      <c r="R3" t="s">
        <v>31</v>
      </c>
      <c r="S3" t="s">
        <v>32</v>
      </c>
      <c r="T3" t="s">
        <v>33</v>
      </c>
      <c r="U3" t="s">
        <v>5</v>
      </c>
      <c r="V3" t="s">
        <v>30</v>
      </c>
      <c r="W3" t="s">
        <v>31</v>
      </c>
      <c r="X3" t="s">
        <v>32</v>
      </c>
      <c r="Y3" t="s">
        <v>33</v>
      </c>
      <c r="Z3" t="s">
        <v>5</v>
      </c>
    </row>
    <row r="4" spans="1:26" ht="15.75" x14ac:dyDescent="0.25">
      <c r="A4" s="6" t="s">
        <v>6</v>
      </c>
    </row>
    <row r="5" spans="1:26" ht="15.75" x14ac:dyDescent="0.25">
      <c r="A5" s="6" t="s">
        <v>7</v>
      </c>
    </row>
    <row r="6" spans="1:26" ht="15.75" x14ac:dyDescent="0.25">
      <c r="A6" s="6" t="s">
        <v>8</v>
      </c>
    </row>
    <row r="7" spans="1:26" ht="15.75" x14ac:dyDescent="0.25">
      <c r="A7" s="6" t="s">
        <v>9</v>
      </c>
    </row>
    <row r="8" spans="1:26" ht="15.75" x14ac:dyDescent="0.25">
      <c r="A8" s="5" t="s">
        <v>5</v>
      </c>
    </row>
    <row r="9" spans="1:26" ht="15.75" x14ac:dyDescent="0.25">
      <c r="A9" s="4" t="s">
        <v>10</v>
      </c>
    </row>
    <row r="10" spans="1:26" ht="15.75" x14ac:dyDescent="0.25">
      <c r="A10" s="5" t="s">
        <v>11</v>
      </c>
      <c r="V10" s="10">
        <v>0</v>
      </c>
      <c r="W10" s="10">
        <v>1231606</v>
      </c>
      <c r="X10" s="10">
        <v>0</v>
      </c>
      <c r="Y10" s="10">
        <v>1136176.3700000001</v>
      </c>
      <c r="Z10" s="10">
        <v>2367782.37</v>
      </c>
    </row>
    <row r="11" spans="1:26" ht="15.75" x14ac:dyDescent="0.25">
      <c r="A11" s="5" t="s">
        <v>12</v>
      </c>
      <c r="V11" s="10">
        <v>0</v>
      </c>
      <c r="W11" s="10">
        <v>879210</v>
      </c>
      <c r="X11" s="10">
        <v>0</v>
      </c>
      <c r="Y11" s="10">
        <v>1024612.5</v>
      </c>
      <c r="Z11" s="10">
        <v>1903822.5</v>
      </c>
    </row>
    <row r="12" spans="1:26" ht="15.75" x14ac:dyDescent="0.25">
      <c r="A12" s="5" t="s">
        <v>13</v>
      </c>
      <c r="V12" s="10">
        <v>0</v>
      </c>
      <c r="W12" s="10">
        <v>674586</v>
      </c>
      <c r="X12" s="10">
        <v>0</v>
      </c>
      <c r="Y12" s="10">
        <v>1168007.18</v>
      </c>
      <c r="Z12" s="10">
        <v>1842593.18</v>
      </c>
    </row>
    <row r="13" spans="1:26" ht="15.75" x14ac:dyDescent="0.25">
      <c r="A13" s="5" t="s">
        <v>14</v>
      </c>
      <c r="V13" s="10">
        <v>0</v>
      </c>
      <c r="W13" s="10">
        <v>36160</v>
      </c>
      <c r="X13" s="10">
        <v>0</v>
      </c>
      <c r="Y13" s="10">
        <v>32640</v>
      </c>
      <c r="Z13" s="10">
        <v>68800</v>
      </c>
    </row>
    <row r="14" spans="1:26" ht="15.75" x14ac:dyDescent="0.25">
      <c r="A14" s="5" t="s">
        <v>15</v>
      </c>
      <c r="V14" s="10">
        <v>0</v>
      </c>
      <c r="W14" s="10">
        <v>137250</v>
      </c>
      <c r="X14" s="10">
        <v>0</v>
      </c>
      <c r="Y14" s="10">
        <v>170050</v>
      </c>
      <c r="Z14" s="10">
        <v>307300</v>
      </c>
    </row>
    <row r="15" spans="1:26" ht="15.75" x14ac:dyDescent="0.25">
      <c r="A15" s="5" t="s">
        <v>16</v>
      </c>
      <c r="V15" s="10">
        <v>0</v>
      </c>
      <c r="W15" s="10">
        <v>506975</v>
      </c>
      <c r="X15" s="10">
        <v>0</v>
      </c>
      <c r="Y15" s="10">
        <v>419378.61</v>
      </c>
      <c r="Z15" s="10">
        <v>926353.61</v>
      </c>
    </row>
    <row r="16" spans="1:26" ht="15.75" x14ac:dyDescent="0.25">
      <c r="A16" s="5" t="s">
        <v>5</v>
      </c>
      <c r="V16" s="10">
        <f>SUM(V10:V15)</f>
        <v>0</v>
      </c>
      <c r="W16" s="10">
        <f>SUM(W10:W15)</f>
        <v>3465787</v>
      </c>
      <c r="X16" s="10">
        <f>SUM(X10:X15)</f>
        <v>0</v>
      </c>
      <c r="Y16" s="10">
        <f>SUM(Y10:Y15)</f>
        <v>3950864.6599999997</v>
      </c>
      <c r="Z16" s="10">
        <f>SUM(Z10:Z15)</f>
        <v>7416651.6600000001</v>
      </c>
    </row>
    <row r="17" spans="1:1" ht="15.75" x14ac:dyDescent="0.25">
      <c r="A17" s="4" t="s">
        <v>17</v>
      </c>
    </row>
    <row r="18" spans="1:1" ht="15.75" x14ac:dyDescent="0.25">
      <c r="A18" s="5" t="s">
        <v>18</v>
      </c>
    </row>
    <row r="19" spans="1:1" ht="15.75" x14ac:dyDescent="0.25">
      <c r="A19" s="5" t="s">
        <v>19</v>
      </c>
    </row>
    <row r="20" spans="1:1" ht="15.75" x14ac:dyDescent="0.25">
      <c r="A20" s="5" t="s">
        <v>20</v>
      </c>
    </row>
    <row r="21" spans="1:1" ht="15.75" x14ac:dyDescent="0.25">
      <c r="A21" s="5" t="s">
        <v>21</v>
      </c>
    </row>
    <row r="22" spans="1:1" ht="15.75" x14ac:dyDescent="0.25">
      <c r="A22" s="5" t="s">
        <v>5</v>
      </c>
    </row>
    <row r="23" spans="1:1" ht="15.75" x14ac:dyDescent="0.25">
      <c r="A23" s="4" t="s">
        <v>22</v>
      </c>
    </row>
    <row r="24" spans="1:1" ht="15.75" x14ac:dyDescent="0.25">
      <c r="A24" s="5" t="s">
        <v>23</v>
      </c>
    </row>
    <row r="25" spans="1:1" ht="15.75" x14ac:dyDescent="0.25">
      <c r="A25" s="5" t="s">
        <v>24</v>
      </c>
    </row>
    <row r="26" spans="1:1" ht="15.75" x14ac:dyDescent="0.25">
      <c r="A26" s="5" t="s">
        <v>25</v>
      </c>
    </row>
    <row r="27" spans="1:1" ht="15.75" x14ac:dyDescent="0.25">
      <c r="A27" s="5" t="s">
        <v>26</v>
      </c>
    </row>
    <row r="28" spans="1:1" ht="15.75" x14ac:dyDescent="0.25">
      <c r="A28" s="5" t="s">
        <v>5</v>
      </c>
    </row>
    <row r="29" spans="1:1" ht="15.75" x14ac:dyDescent="0.25">
      <c r="A29" s="5" t="s">
        <v>27</v>
      </c>
    </row>
    <row r="30" spans="1:1" ht="15.75" x14ac:dyDescent="0.25">
      <c r="A30" s="4" t="s">
        <v>28</v>
      </c>
    </row>
    <row r="31" spans="1:1" ht="15.75" x14ac:dyDescent="0.25">
      <c r="A31" s="4" t="s">
        <v>29</v>
      </c>
    </row>
  </sheetData>
  <mergeCells count="5">
    <mergeCell ref="B2:F2"/>
    <mergeCell ref="G2:K2"/>
    <mergeCell ref="L2:P2"/>
    <mergeCell ref="Q2:U2"/>
    <mergeCell ref="V2:Z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D12" sqref="D12:D17"/>
    </sheetView>
  </sheetViews>
  <sheetFormatPr baseColWidth="10" defaultColWidth="9.140625" defaultRowHeight="15" x14ac:dyDescent="0.25"/>
  <cols>
    <col min="1" max="1" width="24" customWidth="1"/>
    <col min="2" max="2" width="34" customWidth="1"/>
    <col min="3" max="3" width="14" customWidth="1"/>
    <col min="4" max="6" width="18" customWidth="1"/>
  </cols>
  <sheetData>
    <row r="1" spans="1:6" x14ac:dyDescent="0.25">
      <c r="A1" s="11" t="s">
        <v>34</v>
      </c>
      <c r="B1" s="12" t="s">
        <v>35</v>
      </c>
      <c r="C1" s="12" t="s">
        <v>36</v>
      </c>
      <c r="D1" s="12" t="s">
        <v>37</v>
      </c>
      <c r="E1" s="12" t="s">
        <v>38</v>
      </c>
      <c r="F1" s="13" t="s">
        <v>39</v>
      </c>
    </row>
    <row r="2" spans="1:6" ht="38.25" x14ac:dyDescent="0.25">
      <c r="A2" s="14" t="s">
        <v>40</v>
      </c>
      <c r="B2" s="15" t="s">
        <v>41</v>
      </c>
      <c r="C2" s="15" t="s">
        <v>42</v>
      </c>
      <c r="D2" s="15" t="s">
        <v>43</v>
      </c>
      <c r="E2" s="15" t="s">
        <v>44</v>
      </c>
      <c r="F2" s="16" t="s">
        <v>45</v>
      </c>
    </row>
    <row r="3" spans="1:6" ht="38.25" x14ac:dyDescent="0.25">
      <c r="A3" s="17" t="s">
        <v>46</v>
      </c>
      <c r="B3" s="18" t="s">
        <v>47</v>
      </c>
      <c r="C3" s="18" t="s">
        <v>42</v>
      </c>
      <c r="D3" s="18" t="s">
        <v>48</v>
      </c>
      <c r="E3" s="18" t="s">
        <v>44</v>
      </c>
      <c r="F3" s="19" t="s">
        <v>45</v>
      </c>
    </row>
    <row r="4" spans="1:6" ht="51" x14ac:dyDescent="0.25">
      <c r="A4" s="17" t="s">
        <v>49</v>
      </c>
      <c r="B4" s="18" t="s">
        <v>50</v>
      </c>
      <c r="C4" s="18" t="s">
        <v>42</v>
      </c>
      <c r="D4" s="18" t="s">
        <v>51</v>
      </c>
      <c r="E4" s="18" t="s">
        <v>44</v>
      </c>
      <c r="F4" s="19" t="s">
        <v>45</v>
      </c>
    </row>
    <row r="5" spans="1:6" ht="51" x14ac:dyDescent="0.25">
      <c r="A5" s="17" t="s">
        <v>52</v>
      </c>
      <c r="B5" s="18" t="s">
        <v>53</v>
      </c>
      <c r="C5" s="18" t="s">
        <v>54</v>
      </c>
      <c r="D5" s="18" t="s">
        <v>55</v>
      </c>
      <c r="E5" s="18" t="s">
        <v>44</v>
      </c>
      <c r="F5" s="19" t="s">
        <v>45</v>
      </c>
    </row>
    <row r="6" spans="1:6" ht="38.25" x14ac:dyDescent="0.25">
      <c r="A6" s="17" t="s">
        <v>56</v>
      </c>
      <c r="B6" s="18" t="s">
        <v>57</v>
      </c>
      <c r="C6" s="18" t="s">
        <v>42</v>
      </c>
      <c r="D6" s="18" t="s">
        <v>58</v>
      </c>
      <c r="E6" s="18" t="s">
        <v>44</v>
      </c>
      <c r="F6" s="19" t="s">
        <v>45</v>
      </c>
    </row>
    <row r="7" spans="1:6" ht="38.25" x14ac:dyDescent="0.25">
      <c r="A7" s="17" t="s">
        <v>59</v>
      </c>
      <c r="B7" s="18" t="s">
        <v>60</v>
      </c>
      <c r="C7" s="18" t="s">
        <v>42</v>
      </c>
      <c r="D7" s="18" t="s">
        <v>61</v>
      </c>
      <c r="E7" s="18" t="s">
        <v>44</v>
      </c>
      <c r="F7" s="19" t="s">
        <v>45</v>
      </c>
    </row>
    <row r="8" spans="1:6" ht="38.25" x14ac:dyDescent="0.25">
      <c r="A8" s="17" t="s">
        <v>62</v>
      </c>
      <c r="B8" s="18" t="s">
        <v>63</v>
      </c>
      <c r="C8" s="18" t="s">
        <v>42</v>
      </c>
      <c r="D8" s="18" t="s">
        <v>64</v>
      </c>
      <c r="E8" s="18" t="s">
        <v>65</v>
      </c>
      <c r="F8" s="19" t="s">
        <v>45</v>
      </c>
    </row>
    <row r="9" spans="1:6" ht="38.25" x14ac:dyDescent="0.25">
      <c r="A9" s="20" t="s">
        <v>66</v>
      </c>
      <c r="B9" s="21" t="s">
        <v>67</v>
      </c>
      <c r="C9" s="21" t="s">
        <v>68</v>
      </c>
      <c r="D9" s="21" t="s">
        <v>69</v>
      </c>
      <c r="E9" s="21" t="s">
        <v>44</v>
      </c>
      <c r="F9" s="22" t="s">
        <v>45</v>
      </c>
    </row>
    <row r="11" spans="1:6" x14ac:dyDescent="0.25">
      <c r="A11" s="11" t="s">
        <v>70</v>
      </c>
      <c r="B11" s="12" t="s">
        <v>71</v>
      </c>
      <c r="C11" s="12" t="s">
        <v>72</v>
      </c>
      <c r="D11" s="12" t="s">
        <v>73</v>
      </c>
      <c r="E11" s="12" t="s">
        <v>74</v>
      </c>
      <c r="F11" s="13" t="s">
        <v>75</v>
      </c>
    </row>
    <row r="12" spans="1:6" x14ac:dyDescent="0.25">
      <c r="A12" s="14" t="s">
        <v>11</v>
      </c>
      <c r="B12" s="15" t="s">
        <v>76</v>
      </c>
      <c r="C12" s="23">
        <v>52</v>
      </c>
      <c r="D12" s="26">
        <v>2367782.37</v>
      </c>
      <c r="E12" s="26">
        <v>1231606</v>
      </c>
      <c r="F12" s="27">
        <v>1136176.3700000001</v>
      </c>
    </row>
    <row r="13" spans="1:6" x14ac:dyDescent="0.25">
      <c r="A13" s="17" t="s">
        <v>12</v>
      </c>
      <c r="B13" s="18" t="s">
        <v>76</v>
      </c>
      <c r="C13" s="24">
        <v>23</v>
      </c>
      <c r="D13" s="28">
        <v>1903822.5</v>
      </c>
      <c r="E13" s="28">
        <v>879210</v>
      </c>
      <c r="F13" s="29">
        <v>1024612.5</v>
      </c>
    </row>
    <row r="14" spans="1:6" x14ac:dyDescent="0.25">
      <c r="A14" s="17" t="s">
        <v>13</v>
      </c>
      <c r="B14" s="18" t="s">
        <v>76</v>
      </c>
      <c r="C14" s="24">
        <v>16</v>
      </c>
      <c r="D14" s="28">
        <v>1842593.18</v>
      </c>
      <c r="E14" s="28">
        <v>674586</v>
      </c>
      <c r="F14" s="29">
        <v>1168007.18</v>
      </c>
    </row>
    <row r="15" spans="1:6" x14ac:dyDescent="0.25">
      <c r="A15" s="17" t="s">
        <v>14</v>
      </c>
      <c r="B15" s="18" t="s">
        <v>76</v>
      </c>
      <c r="C15" s="24">
        <v>2</v>
      </c>
      <c r="D15" s="28">
        <v>68800</v>
      </c>
      <c r="E15" s="28">
        <v>36160</v>
      </c>
      <c r="F15" s="29">
        <v>32640</v>
      </c>
    </row>
    <row r="16" spans="1:6" x14ac:dyDescent="0.25">
      <c r="A16" s="17" t="s">
        <v>15</v>
      </c>
      <c r="B16" s="18" t="s">
        <v>76</v>
      </c>
      <c r="C16" s="24">
        <v>3</v>
      </c>
      <c r="D16" s="28">
        <v>307300</v>
      </c>
      <c r="E16" s="28">
        <v>137250</v>
      </c>
      <c r="F16" s="29">
        <v>170050</v>
      </c>
    </row>
    <row r="17" spans="1:6" x14ac:dyDescent="0.25">
      <c r="A17" s="20" t="s">
        <v>16</v>
      </c>
      <c r="B17" s="21" t="s">
        <v>76</v>
      </c>
      <c r="C17" s="25">
        <v>31</v>
      </c>
      <c r="D17" s="30">
        <v>926353.61</v>
      </c>
      <c r="E17" s="30">
        <v>506975</v>
      </c>
      <c r="F17" s="31">
        <v>419378.61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Por Emer-Prod</vt:lpstr>
      <vt:lpstr>Por Aportaciones</vt:lpstr>
      <vt:lpstr>Control de 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VIANNEY PARSA RETANA</cp:lastModifiedBy>
  <dcterms:modified xsi:type="dcterms:W3CDTF">2026-08-12T18:51:07Z</dcterms:modified>
</cp:coreProperties>
</file>